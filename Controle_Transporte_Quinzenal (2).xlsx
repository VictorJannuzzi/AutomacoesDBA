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e Quinzenal" sheetId="1" r:id="rId5"/>
    <sheet state="visible" name="Controle Quinzenal - C2" sheetId="2" r:id="rId6"/>
  </sheets>
  <definedNames/>
  <calcPr/>
</workbook>
</file>

<file path=xl/sharedStrings.xml><?xml version="1.0" encoding="utf-8"?>
<sst xmlns="http://schemas.openxmlformats.org/spreadsheetml/2006/main" count="66" uniqueCount="33">
  <si>
    <t>CONTROLE DE TRANSPORTE — FATURAMENTO QUINZENAL</t>
  </si>
  <si>
    <t>Preencha os valores fixos por caixa abaixo. Os cálculos de faturamento são automáticos.</t>
  </si>
  <si>
    <t>VALORES POR CAIXA</t>
  </si>
  <si>
    <t>Valor Cx Enviada:</t>
  </si>
  <si>
    <t>Valor Cx Devolvida:</t>
  </si>
  <si>
    <t>Valor Cx Sobra:</t>
  </si>
  <si>
    <t>⬆ Altere os valores acima conforme necessário</t>
  </si>
  <si>
    <t>#</t>
  </si>
  <si>
    <t>Data</t>
  </si>
  <si>
    <t>Motorista</t>
  </si>
  <si>
    <t>Placa</t>
  </si>
  <si>
    <t>Cx Enviadas</t>
  </si>
  <si>
    <t>Cx Devolvidas</t>
  </si>
  <si>
    <t>Cx Sobram</t>
  </si>
  <si>
    <t>R$ Enviadas</t>
  </si>
  <si>
    <t>R$ Devolvidas</t>
  </si>
  <si>
    <t>R$ Sobras</t>
  </si>
  <si>
    <t>Total Dia (R$)</t>
  </si>
  <si>
    <t>Odômetro</t>
  </si>
  <si>
    <t>Fulano</t>
  </si>
  <si>
    <t>PLACA123</t>
  </si>
  <si>
    <t>TOTAIS DA QUINZENA</t>
  </si>
  <si>
    <t>RESUMO DA QUINZENA</t>
  </si>
  <si>
    <t>Total Caixas Enviadas</t>
  </si>
  <si>
    <t>Total Caixas Devolvidas</t>
  </si>
  <si>
    <t>Total Caixas Sobras</t>
  </si>
  <si>
    <t>Faturamento Enviadas (R$)</t>
  </si>
  <si>
    <t>Faturamento Devolvidas (R$)</t>
  </si>
  <si>
    <t>Faturamento Sobras (R$)</t>
  </si>
  <si>
    <t>FATURAMENTO TOTAL (R$)</t>
  </si>
  <si>
    <t>Km Rodados na Quinzena</t>
  </si>
  <si>
    <t>Dias Trabalhados</t>
  </si>
  <si>
    <t>Campos em cinza/branco = preencher manualmente  |  Campos coloridos = cálculo automático  |  Valores por caixa podem ser alterados na linha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</si>
</sst>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7">
    <font>
      <sz val="11.0"/>
      <color theme="1"/>
      <name val="Calibri"/>
      <scheme val="minor"/>
    </font>
    <font>
      <b/>
      <sz val="16.0"/>
      <color rgb="FFFFFFFF"/>
      <name val="Calibri"/>
    </font>
    <font/>
    <font>
      <i/>
      <sz val="9.0"/>
      <color rgb="FF757575"/>
      <name val="Calibri"/>
    </font>
    <font>
      <b/>
      <sz val="11.0"/>
      <color rgb="FFE65100"/>
      <name val="Calibri"/>
    </font>
    <font>
      <b/>
      <sz val="10.0"/>
      <color rgb="FF333333"/>
      <name val="Calibri"/>
    </font>
    <font>
      <b/>
      <sz val="11.0"/>
      <color rgb="FF1565C0"/>
      <name val="Calibri"/>
    </font>
    <font>
      <b/>
      <sz val="10.0"/>
      <color rgb="FFFFFFFF"/>
      <name val="Calibri"/>
    </font>
    <font>
      <sz val="10.0"/>
      <color rgb="FF333333"/>
      <name val="Calibri"/>
    </font>
    <font>
      <b/>
      <sz val="10.0"/>
      <color rgb="FF1B5E20"/>
      <name val="Calibri"/>
    </font>
    <font>
      <b/>
      <sz val="10.0"/>
      <color rgb="FFE65100"/>
      <name val="Calibri"/>
    </font>
    <font>
      <b/>
      <sz val="10.0"/>
      <color rgb="FF1565C0"/>
      <name val="Calibri"/>
    </font>
    <font>
      <b/>
      <sz val="11.0"/>
      <color rgb="FF1B5E20"/>
      <name val="Calibri"/>
    </font>
    <font>
      <b/>
      <sz val="11.0"/>
      <color rgb="FF333333"/>
      <name val="Calibri"/>
    </font>
    <font>
      <b/>
      <sz val="13.0"/>
      <color rgb="FFFFFFFF"/>
      <name val="Calibri"/>
    </font>
    <font>
      <b/>
      <sz val="12.0"/>
      <color rgb="FF1B5E20"/>
      <name val="Calibri"/>
    </font>
    <font>
      <b/>
      <sz val="14.0"/>
      <color rgb="FF1B5E2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1B5E20"/>
        <bgColor rgb="FF1B5E20"/>
      </patternFill>
    </fill>
    <fill>
      <patternFill patternType="solid">
        <fgColor rgb="FFFFF9C4"/>
        <bgColor rgb="FFFFF9C4"/>
      </patternFill>
    </fill>
    <fill>
      <patternFill patternType="solid">
        <fgColor rgb="FF424242"/>
        <bgColor rgb="FF424242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E8F5E9"/>
        <bgColor rgb="FFE8F5E9"/>
      </patternFill>
    </fill>
    <fill>
      <patternFill patternType="solid">
        <fgColor rgb="FFE3F2FD"/>
        <bgColor rgb="FFE3F2FD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left style="medium">
        <color rgb="FF1B5E20"/>
      </left>
      <right style="medium">
        <color rgb="FF1B5E20"/>
      </right>
      <top style="medium">
        <color rgb="FF1B5E20"/>
      </top>
      <bottom style="medium">
        <color rgb="FF1B5E20"/>
      </bottom>
    </border>
    <border>
      <left style="thin">
        <color rgb="FFBDBDBD"/>
      </left>
      <top style="thin">
        <color rgb="FFBDBDBD"/>
      </top>
      <bottom style="thin">
        <color rgb="FFBDBDBD"/>
      </bottom>
    </border>
    <border>
      <top style="thin">
        <color rgb="FFBDBDBD"/>
      </top>
      <bottom style="thin">
        <color rgb="FFBDBDBD"/>
      </bottom>
    </border>
    <border>
      <right style="thin">
        <color rgb="FFBDBDBD"/>
      </right>
      <top style="thin">
        <color rgb="FFBDBDBD"/>
      </top>
      <bottom style="thin">
        <color rgb="FFBDBDBD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left" shrinkToFit="0" vertical="center" wrapText="1"/>
    </xf>
    <xf borderId="4" fillId="3" fontId="5" numFmtId="0" xfId="0" applyAlignment="1" applyBorder="1" applyFill="1" applyFont="1">
      <alignment horizontal="right" vertical="center"/>
    </xf>
    <xf borderId="5" fillId="3" fontId="6" numFmtId="4" xfId="0" applyAlignment="1" applyBorder="1" applyFont="1" applyNumberFormat="1">
      <alignment horizontal="center" readingOrder="0" shrinkToFit="0" vertical="center" wrapText="1"/>
    </xf>
    <xf borderId="5" fillId="3" fontId="6" numFmtId="4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4" fontId="7" numFmtId="0" xfId="0" applyAlignment="1" applyFill="1" applyFont="1">
      <alignment horizontal="center" shrinkToFit="0" vertical="center" wrapText="1"/>
    </xf>
    <xf borderId="4" fillId="4" fontId="7" numFmtId="0" xfId="0" applyAlignment="1" applyBorder="1" applyFont="1">
      <alignment horizontal="center" shrinkToFit="0" vertical="center" wrapText="1"/>
    </xf>
    <xf borderId="0" fillId="5" fontId="8" numFmtId="0" xfId="0" applyAlignment="1" applyFill="1" applyFont="1">
      <alignment horizontal="center" shrinkToFit="0" vertical="center" wrapText="1"/>
    </xf>
    <xf borderId="4" fillId="5" fontId="8" numFmtId="0" xfId="0" applyAlignment="1" applyBorder="1" applyFont="1">
      <alignment horizontal="center" shrinkToFit="0" vertical="center" wrapText="1"/>
    </xf>
    <xf borderId="4" fillId="5" fontId="8" numFmtId="164" xfId="0" applyAlignment="1" applyBorder="1" applyFont="1" applyNumberFormat="1">
      <alignment horizontal="center" readingOrder="0" shrinkToFit="0" vertical="center" wrapText="1"/>
    </xf>
    <xf borderId="4" fillId="5" fontId="8" numFmtId="0" xfId="0" applyAlignment="1" applyBorder="1" applyFont="1">
      <alignment horizontal="left" readingOrder="0" shrinkToFit="0" vertical="center" wrapText="1"/>
    </xf>
    <xf borderId="4" fillId="5" fontId="8" numFmtId="0" xfId="0" applyAlignment="1" applyBorder="1" applyFont="1">
      <alignment horizontal="center" readingOrder="0" shrinkToFit="0" vertical="center" wrapText="1"/>
    </xf>
    <xf borderId="4" fillId="5" fontId="8" numFmtId="3" xfId="0" applyAlignment="1" applyBorder="1" applyFont="1" applyNumberFormat="1">
      <alignment horizontal="center" readingOrder="0" shrinkToFit="0" vertical="center" wrapText="1"/>
    </xf>
    <xf borderId="4" fillId="5" fontId="9" numFmtId="4" xfId="0" applyAlignment="1" applyBorder="1" applyFont="1" applyNumberFormat="1">
      <alignment horizontal="center" shrinkToFit="0" vertical="center" wrapText="1"/>
    </xf>
    <xf borderId="4" fillId="5" fontId="10" numFmtId="4" xfId="0" applyAlignment="1" applyBorder="1" applyFont="1" applyNumberFormat="1">
      <alignment horizontal="center" shrinkToFit="0" vertical="center" wrapText="1"/>
    </xf>
    <xf borderId="4" fillId="5" fontId="11" numFmtId="4" xfId="0" applyAlignment="1" applyBorder="1" applyFont="1" applyNumberFormat="1">
      <alignment horizontal="center" shrinkToFit="0" vertical="center" wrapText="1"/>
    </xf>
    <xf borderId="4" fillId="5" fontId="5" numFmtId="4" xfId="0" applyAlignment="1" applyBorder="1" applyFont="1" applyNumberFormat="1">
      <alignment horizontal="center" shrinkToFit="0" vertical="center" wrapText="1"/>
    </xf>
    <xf borderId="0" fillId="6" fontId="8" numFmtId="0" xfId="0" applyAlignment="1" applyFill="1" applyFont="1">
      <alignment horizontal="center" shrinkToFit="0" vertical="center" wrapText="1"/>
    </xf>
    <xf borderId="4" fillId="6" fontId="8" numFmtId="0" xfId="0" applyAlignment="1" applyBorder="1" applyFont="1">
      <alignment horizontal="center" shrinkToFit="0" vertical="center" wrapText="1"/>
    </xf>
    <xf borderId="4" fillId="6" fontId="8" numFmtId="164" xfId="0" applyAlignment="1" applyBorder="1" applyFont="1" applyNumberFormat="1">
      <alignment horizontal="center" shrinkToFit="0" vertical="center" wrapText="1"/>
    </xf>
    <xf borderId="4" fillId="6" fontId="8" numFmtId="0" xfId="0" applyAlignment="1" applyBorder="1" applyFont="1">
      <alignment horizontal="left" shrinkToFit="0" vertical="center" wrapText="1"/>
    </xf>
    <xf borderId="4" fillId="6" fontId="8" numFmtId="3" xfId="0" applyAlignment="1" applyBorder="1" applyFont="1" applyNumberFormat="1">
      <alignment horizontal="center" shrinkToFit="0" vertical="center" wrapText="1"/>
    </xf>
    <xf borderId="4" fillId="6" fontId="9" numFmtId="4" xfId="0" applyAlignment="1" applyBorder="1" applyFont="1" applyNumberFormat="1">
      <alignment horizontal="center" shrinkToFit="0" vertical="center" wrapText="1"/>
    </xf>
    <xf borderId="4" fillId="6" fontId="10" numFmtId="4" xfId="0" applyAlignment="1" applyBorder="1" applyFont="1" applyNumberFormat="1">
      <alignment horizontal="center" shrinkToFit="0" vertical="center" wrapText="1"/>
    </xf>
    <xf borderId="4" fillId="6" fontId="11" numFmtId="4" xfId="0" applyAlignment="1" applyBorder="1" applyFont="1" applyNumberFormat="1">
      <alignment horizontal="center" shrinkToFit="0" vertical="center" wrapText="1"/>
    </xf>
    <xf borderId="4" fillId="6" fontId="5" numFmtId="4" xfId="0" applyAlignment="1" applyBorder="1" applyFont="1" applyNumberFormat="1">
      <alignment horizontal="center" shrinkToFit="0" vertical="center" wrapText="1"/>
    </xf>
    <xf borderId="4" fillId="5" fontId="8" numFmtId="164" xfId="0" applyAlignment="1" applyBorder="1" applyFont="1" applyNumberFormat="1">
      <alignment horizontal="center" shrinkToFit="0" vertical="center" wrapText="1"/>
    </xf>
    <xf borderId="4" fillId="5" fontId="8" numFmtId="0" xfId="0" applyAlignment="1" applyBorder="1" applyFont="1">
      <alignment horizontal="left" shrinkToFit="0" vertical="center" wrapText="1"/>
    </xf>
    <xf borderId="4" fillId="5" fontId="8" numFmtId="3" xfId="0" applyAlignment="1" applyBorder="1" applyFont="1" applyNumberFormat="1">
      <alignment horizontal="center" shrinkToFit="0" vertical="center" wrapText="1"/>
    </xf>
    <xf borderId="0" fillId="7" fontId="12" numFmtId="0" xfId="0" applyAlignment="1" applyFill="1" applyFont="1">
      <alignment horizontal="right" vertical="center"/>
    </xf>
    <xf borderId="6" fillId="7" fontId="12" numFmtId="0" xfId="0" applyAlignment="1" applyBorder="1" applyFont="1">
      <alignment horizontal="right" vertical="center"/>
    </xf>
    <xf borderId="7" fillId="0" fontId="2" numFmtId="0" xfId="0" applyBorder="1" applyFont="1"/>
    <xf borderId="8" fillId="0" fontId="2" numFmtId="0" xfId="0" applyBorder="1" applyFont="1"/>
    <xf borderId="4" fillId="7" fontId="13" numFmtId="3" xfId="0" applyAlignment="1" applyBorder="1" applyFont="1" applyNumberFormat="1">
      <alignment horizontal="center" shrinkToFit="0" vertical="center" wrapText="1"/>
    </xf>
    <xf borderId="4" fillId="7" fontId="12" numFmtId="4" xfId="0" applyAlignment="1" applyBorder="1" applyFont="1" applyNumberFormat="1">
      <alignment horizontal="center" shrinkToFit="0" vertical="center" wrapText="1"/>
    </xf>
    <xf borderId="4" fillId="8" fontId="6" numFmtId="3" xfId="0" applyAlignment="1" applyBorder="1" applyFill="1" applyFont="1" applyNumberFormat="1">
      <alignment horizontal="center" shrinkToFit="0" vertical="center" wrapText="1"/>
    </xf>
    <xf borderId="0" fillId="2" fontId="14" numFmtId="0" xfId="0" applyAlignment="1" applyFont="1">
      <alignment horizontal="center" shrinkToFit="0" vertical="center" wrapText="1"/>
    </xf>
    <xf borderId="1" fillId="2" fontId="14" numFmtId="0" xfId="0" applyAlignment="1" applyBorder="1" applyFont="1">
      <alignment horizontal="center" shrinkToFit="0" vertical="center" wrapText="1"/>
    </xf>
    <xf borderId="0" fillId="7" fontId="5" numFmtId="0" xfId="0" applyAlignment="1" applyFont="1">
      <alignment horizontal="right" vertical="center"/>
    </xf>
    <xf borderId="6" fillId="7" fontId="5" numFmtId="0" xfId="0" applyAlignment="1" applyBorder="1" applyFont="1">
      <alignment horizontal="right" vertical="center"/>
    </xf>
    <xf borderId="6" fillId="7" fontId="13" numFmtId="3" xfId="0" applyAlignment="1" applyBorder="1" applyFont="1" applyNumberFormat="1">
      <alignment horizontal="center" shrinkToFit="0" vertical="center" wrapText="1"/>
    </xf>
    <xf borderId="6" fillId="7" fontId="13" numFmtId="4" xfId="0" applyAlignment="1" applyBorder="1" applyFont="1" applyNumberFormat="1">
      <alignment horizontal="center" shrinkToFit="0" vertical="center" wrapText="1"/>
    </xf>
    <xf borderId="0" fillId="7" fontId="15" numFmtId="0" xfId="0" applyAlignment="1" applyFont="1">
      <alignment horizontal="right" vertical="center"/>
    </xf>
    <xf borderId="6" fillId="7" fontId="15" numFmtId="0" xfId="0" applyAlignment="1" applyBorder="1" applyFont="1">
      <alignment horizontal="right" vertical="center"/>
    </xf>
    <xf borderId="6" fillId="7" fontId="16" numFmtId="4" xfId="0" applyAlignment="1" applyBorder="1" applyFont="1" applyNumberFormat="1">
      <alignment horizontal="center" shrinkToFit="0" vertical="center" wrapText="1"/>
    </xf>
    <xf borderId="0" fillId="8" fontId="5" numFmtId="0" xfId="0" applyAlignment="1" applyFont="1">
      <alignment horizontal="right" vertical="center"/>
    </xf>
    <xf borderId="6" fillId="8" fontId="5" numFmtId="0" xfId="0" applyAlignment="1" applyBorder="1" applyFont="1">
      <alignment horizontal="right" vertical="center"/>
    </xf>
    <xf borderId="6" fillId="8" fontId="6" numFmtId="3" xfId="0" applyAlignment="1" applyBorder="1" applyFont="1" applyNumberFormat="1">
      <alignment horizontal="center" shrinkToFit="0" vertical="center" wrapText="1"/>
    </xf>
    <xf borderId="4" fillId="6" fontId="8" numFmtId="3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2" width="49.43"/>
    <col customWidth="1" min="3" max="3" width="14.0"/>
    <col customWidth="1" min="4" max="4" width="18.0"/>
    <col customWidth="1" min="5" max="8" width="14.0"/>
    <col customWidth="1" min="9" max="13" width="16.0"/>
    <col customWidth="1" min="14" max="27" width="8.71"/>
  </cols>
  <sheetData>
    <row r="1" ht="39.7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4"/>
    </row>
    <row r="2" ht="21.75" customHeight="1">
      <c r="A2" s="5"/>
      <c r="B2" s="5" t="s">
        <v>1</v>
      </c>
    </row>
    <row r="4">
      <c r="A4" s="6"/>
      <c r="B4" s="6" t="s">
        <v>2</v>
      </c>
      <c r="D4" s="7" t="s">
        <v>3</v>
      </c>
      <c r="E4" s="8">
        <v>3.0</v>
      </c>
      <c r="F4" s="7" t="s">
        <v>4</v>
      </c>
      <c r="G4" s="8">
        <v>5.0</v>
      </c>
      <c r="H4" s="7" t="s">
        <v>5</v>
      </c>
      <c r="I4" s="9">
        <v>2.0</v>
      </c>
      <c r="J4" s="10" t="s">
        <v>6</v>
      </c>
    </row>
    <row r="6" ht="30.0" customHeight="1">
      <c r="A6" s="11"/>
      <c r="B6" s="12" t="s">
        <v>7</v>
      </c>
      <c r="C6" s="12" t="s">
        <v>8</v>
      </c>
      <c r="D6" s="12" t="s">
        <v>9</v>
      </c>
      <c r="E6" s="12" t="s">
        <v>10</v>
      </c>
      <c r="F6" s="12" t="s">
        <v>11</v>
      </c>
      <c r="G6" s="12" t="s">
        <v>12</v>
      </c>
      <c r="H6" s="12" t="s">
        <v>13</v>
      </c>
      <c r="I6" s="12" t="s">
        <v>14</v>
      </c>
      <c r="J6" s="12" t="s">
        <v>15</v>
      </c>
      <c r="K6" s="12" t="s">
        <v>16</v>
      </c>
      <c r="L6" s="12" t="s">
        <v>17</v>
      </c>
      <c r="M6" s="12" t="s">
        <v>18</v>
      </c>
    </row>
    <row r="7" ht="25.5" customHeight="1">
      <c r="A7" s="13"/>
      <c r="B7" s="14">
        <v>1.0</v>
      </c>
      <c r="C7" s="15">
        <v>46082.0</v>
      </c>
      <c r="D7" s="16" t="s">
        <v>19</v>
      </c>
      <c r="E7" s="17" t="s">
        <v>20</v>
      </c>
      <c r="F7" s="18">
        <v>3.0</v>
      </c>
      <c r="G7" s="18">
        <v>4.0</v>
      </c>
      <c r="H7" s="18">
        <v>1.0</v>
      </c>
      <c r="I7" s="19">
        <f t="shared" ref="I7:I21" si="1">IF(F7="","",F7*$E$4)</f>
        <v>9</v>
      </c>
      <c r="J7" s="20">
        <f t="shared" ref="J7:J21" si="2">IF(G7="","",G7*$G$4)</f>
        <v>20</v>
      </c>
      <c r="K7" s="21">
        <f t="shared" ref="K7:K21" si="3">IF(H7="","",H7*$I$4)</f>
        <v>2</v>
      </c>
      <c r="L7" s="22">
        <f t="shared" ref="L7:L21" si="4">IF(AND(I7="",J7="",K7=""),"",IFERROR(I7,0)+IFERROR(J7,0)+IFERROR(K7,0))</f>
        <v>31</v>
      </c>
      <c r="M7" s="18">
        <v>150.0</v>
      </c>
    </row>
    <row r="8" ht="25.5" customHeight="1">
      <c r="A8" s="23"/>
      <c r="B8" s="24">
        <v>2.0</v>
      </c>
      <c r="C8" s="25"/>
      <c r="D8" s="26"/>
      <c r="E8" s="24"/>
      <c r="F8" s="27"/>
      <c r="G8" s="27"/>
      <c r="H8" s="27"/>
      <c r="I8" s="28" t="str">
        <f t="shared" si="1"/>
        <v/>
      </c>
      <c r="J8" s="29" t="str">
        <f t="shared" si="2"/>
        <v/>
      </c>
      <c r="K8" s="30" t="str">
        <f t="shared" si="3"/>
        <v/>
      </c>
      <c r="L8" s="31" t="str">
        <f t="shared" si="4"/>
        <v/>
      </c>
      <c r="M8" s="18"/>
    </row>
    <row r="9" ht="25.5" customHeight="1">
      <c r="A9" s="13"/>
      <c r="B9" s="14">
        <v>3.0</v>
      </c>
      <c r="C9" s="32"/>
      <c r="D9" s="33"/>
      <c r="E9" s="14"/>
      <c r="F9" s="34"/>
      <c r="G9" s="34"/>
      <c r="H9" s="34"/>
      <c r="I9" s="19" t="str">
        <f t="shared" si="1"/>
        <v/>
      </c>
      <c r="J9" s="20" t="str">
        <f t="shared" si="2"/>
        <v/>
      </c>
      <c r="K9" s="21" t="str">
        <f t="shared" si="3"/>
        <v/>
      </c>
      <c r="L9" s="22" t="str">
        <f t="shared" si="4"/>
        <v/>
      </c>
      <c r="M9" s="18"/>
    </row>
    <row r="10" ht="25.5" customHeight="1">
      <c r="A10" s="23"/>
      <c r="B10" s="24">
        <v>4.0</v>
      </c>
      <c r="C10" s="25"/>
      <c r="D10" s="26"/>
      <c r="E10" s="24"/>
      <c r="F10" s="27"/>
      <c r="G10" s="27"/>
      <c r="H10" s="27"/>
      <c r="I10" s="28" t="str">
        <f t="shared" si="1"/>
        <v/>
      </c>
      <c r="J10" s="29" t="str">
        <f t="shared" si="2"/>
        <v/>
      </c>
      <c r="K10" s="30" t="str">
        <f t="shared" si="3"/>
        <v/>
      </c>
      <c r="L10" s="31" t="str">
        <f t="shared" si="4"/>
        <v/>
      </c>
      <c r="M10" s="18"/>
    </row>
    <row r="11" ht="25.5" customHeight="1">
      <c r="A11" s="13"/>
      <c r="B11" s="14">
        <v>5.0</v>
      </c>
      <c r="C11" s="32"/>
      <c r="D11" s="33"/>
      <c r="E11" s="14"/>
      <c r="F11" s="34"/>
      <c r="G11" s="34"/>
      <c r="H11" s="34"/>
      <c r="I11" s="19" t="str">
        <f t="shared" si="1"/>
        <v/>
      </c>
      <c r="J11" s="20" t="str">
        <f t="shared" si="2"/>
        <v/>
      </c>
      <c r="K11" s="21" t="str">
        <f t="shared" si="3"/>
        <v/>
      </c>
      <c r="L11" s="22" t="str">
        <f t="shared" si="4"/>
        <v/>
      </c>
      <c r="M11" s="18"/>
    </row>
    <row r="12" ht="25.5" customHeight="1">
      <c r="A12" s="23"/>
      <c r="B12" s="24">
        <v>6.0</v>
      </c>
      <c r="C12" s="25"/>
      <c r="D12" s="26"/>
      <c r="E12" s="24"/>
      <c r="F12" s="27"/>
      <c r="G12" s="27"/>
      <c r="H12" s="27"/>
      <c r="I12" s="28" t="str">
        <f t="shared" si="1"/>
        <v/>
      </c>
      <c r="J12" s="29" t="str">
        <f t="shared" si="2"/>
        <v/>
      </c>
      <c r="K12" s="30" t="str">
        <f t="shared" si="3"/>
        <v/>
      </c>
      <c r="L12" s="31" t="str">
        <f t="shared" si="4"/>
        <v/>
      </c>
      <c r="M12" s="18"/>
    </row>
    <row r="13" ht="25.5" customHeight="1">
      <c r="A13" s="13"/>
      <c r="B13" s="14">
        <v>7.0</v>
      </c>
      <c r="C13" s="32"/>
      <c r="D13" s="33"/>
      <c r="E13" s="14"/>
      <c r="F13" s="34"/>
      <c r="G13" s="34"/>
      <c r="H13" s="34"/>
      <c r="I13" s="19" t="str">
        <f t="shared" si="1"/>
        <v/>
      </c>
      <c r="J13" s="20" t="str">
        <f t="shared" si="2"/>
        <v/>
      </c>
      <c r="K13" s="21" t="str">
        <f t="shared" si="3"/>
        <v/>
      </c>
      <c r="L13" s="22" t="str">
        <f t="shared" si="4"/>
        <v/>
      </c>
      <c r="M13" s="18"/>
    </row>
    <row r="14" ht="25.5" customHeight="1">
      <c r="A14" s="23"/>
      <c r="B14" s="24">
        <v>8.0</v>
      </c>
      <c r="C14" s="25"/>
      <c r="D14" s="26"/>
      <c r="E14" s="24"/>
      <c r="F14" s="27"/>
      <c r="G14" s="27"/>
      <c r="H14" s="27"/>
      <c r="I14" s="28" t="str">
        <f t="shared" si="1"/>
        <v/>
      </c>
      <c r="J14" s="29" t="str">
        <f t="shared" si="2"/>
        <v/>
      </c>
      <c r="K14" s="30" t="str">
        <f t="shared" si="3"/>
        <v/>
      </c>
      <c r="L14" s="31" t="str">
        <f t="shared" si="4"/>
        <v/>
      </c>
      <c r="M14" s="18"/>
    </row>
    <row r="15" ht="25.5" customHeight="1">
      <c r="A15" s="13"/>
      <c r="B15" s="14">
        <v>9.0</v>
      </c>
      <c r="C15" s="32"/>
      <c r="D15" s="33"/>
      <c r="E15" s="14"/>
      <c r="F15" s="34"/>
      <c r="G15" s="34"/>
      <c r="H15" s="34"/>
      <c r="I15" s="19" t="str">
        <f t="shared" si="1"/>
        <v/>
      </c>
      <c r="J15" s="20" t="str">
        <f t="shared" si="2"/>
        <v/>
      </c>
      <c r="K15" s="21" t="str">
        <f t="shared" si="3"/>
        <v/>
      </c>
      <c r="L15" s="22" t="str">
        <f t="shared" si="4"/>
        <v/>
      </c>
      <c r="M15" s="18"/>
    </row>
    <row r="16" ht="25.5" customHeight="1">
      <c r="A16" s="23"/>
      <c r="B16" s="24">
        <v>10.0</v>
      </c>
      <c r="C16" s="25"/>
      <c r="D16" s="26"/>
      <c r="E16" s="24"/>
      <c r="F16" s="27"/>
      <c r="G16" s="27"/>
      <c r="H16" s="27"/>
      <c r="I16" s="28" t="str">
        <f t="shared" si="1"/>
        <v/>
      </c>
      <c r="J16" s="29" t="str">
        <f t="shared" si="2"/>
        <v/>
      </c>
      <c r="K16" s="30" t="str">
        <f t="shared" si="3"/>
        <v/>
      </c>
      <c r="L16" s="31" t="str">
        <f t="shared" si="4"/>
        <v/>
      </c>
      <c r="M16" s="18"/>
    </row>
    <row r="17" ht="25.5" customHeight="1">
      <c r="A17" s="13"/>
      <c r="B17" s="14">
        <v>11.0</v>
      </c>
      <c r="C17" s="32"/>
      <c r="D17" s="33"/>
      <c r="E17" s="14"/>
      <c r="F17" s="34"/>
      <c r="G17" s="34"/>
      <c r="H17" s="34"/>
      <c r="I17" s="19" t="str">
        <f t="shared" si="1"/>
        <v/>
      </c>
      <c r="J17" s="20" t="str">
        <f t="shared" si="2"/>
        <v/>
      </c>
      <c r="K17" s="21" t="str">
        <f t="shared" si="3"/>
        <v/>
      </c>
      <c r="L17" s="22" t="str">
        <f t="shared" si="4"/>
        <v/>
      </c>
      <c r="M17" s="18"/>
    </row>
    <row r="18" ht="25.5" customHeight="1">
      <c r="A18" s="23"/>
      <c r="B18" s="24">
        <v>12.0</v>
      </c>
      <c r="C18" s="25"/>
      <c r="D18" s="26"/>
      <c r="E18" s="24"/>
      <c r="F18" s="27"/>
      <c r="G18" s="27"/>
      <c r="H18" s="27"/>
      <c r="I18" s="28" t="str">
        <f t="shared" si="1"/>
        <v/>
      </c>
      <c r="J18" s="29" t="str">
        <f t="shared" si="2"/>
        <v/>
      </c>
      <c r="K18" s="30" t="str">
        <f t="shared" si="3"/>
        <v/>
      </c>
      <c r="L18" s="31" t="str">
        <f t="shared" si="4"/>
        <v/>
      </c>
      <c r="M18" s="18"/>
    </row>
    <row r="19" ht="25.5" customHeight="1">
      <c r="A19" s="13"/>
      <c r="B19" s="14">
        <v>13.0</v>
      </c>
      <c r="C19" s="32"/>
      <c r="D19" s="33"/>
      <c r="E19" s="14"/>
      <c r="F19" s="34"/>
      <c r="G19" s="34"/>
      <c r="H19" s="34"/>
      <c r="I19" s="19" t="str">
        <f t="shared" si="1"/>
        <v/>
      </c>
      <c r="J19" s="20" t="str">
        <f t="shared" si="2"/>
        <v/>
      </c>
      <c r="K19" s="21" t="str">
        <f t="shared" si="3"/>
        <v/>
      </c>
      <c r="L19" s="22" t="str">
        <f t="shared" si="4"/>
        <v/>
      </c>
      <c r="M19" s="18"/>
    </row>
    <row r="20" ht="25.5" customHeight="1">
      <c r="A20" s="23"/>
      <c r="B20" s="24">
        <v>14.0</v>
      </c>
      <c r="C20" s="25"/>
      <c r="D20" s="26"/>
      <c r="E20" s="24"/>
      <c r="F20" s="27"/>
      <c r="G20" s="27"/>
      <c r="H20" s="27"/>
      <c r="I20" s="28" t="str">
        <f t="shared" si="1"/>
        <v/>
      </c>
      <c r="J20" s="29" t="str">
        <f t="shared" si="2"/>
        <v/>
      </c>
      <c r="K20" s="30" t="str">
        <f t="shared" si="3"/>
        <v/>
      </c>
      <c r="L20" s="31" t="str">
        <f t="shared" si="4"/>
        <v/>
      </c>
      <c r="M20" s="18"/>
    </row>
    <row r="21" ht="25.5" customHeight="1">
      <c r="A21" s="13"/>
      <c r="B21" s="14">
        <v>15.0</v>
      </c>
      <c r="C21" s="32"/>
      <c r="D21" s="33"/>
      <c r="E21" s="14"/>
      <c r="F21" s="34"/>
      <c r="G21" s="34"/>
      <c r="H21" s="34"/>
      <c r="I21" s="19" t="str">
        <f t="shared" si="1"/>
        <v/>
      </c>
      <c r="J21" s="20" t="str">
        <f t="shared" si="2"/>
        <v/>
      </c>
      <c r="K21" s="21" t="str">
        <f t="shared" si="3"/>
        <v/>
      </c>
      <c r="L21" s="22" t="str">
        <f t="shared" si="4"/>
        <v/>
      </c>
      <c r="M21" s="18">
        <v>152.0</v>
      </c>
    </row>
    <row r="22" ht="31.5" customHeight="1">
      <c r="A22" s="35"/>
      <c r="B22" s="36" t="s">
        <v>21</v>
      </c>
      <c r="C22" s="37"/>
      <c r="D22" s="37"/>
      <c r="E22" s="38"/>
      <c r="F22" s="39">
        <f t="shared" ref="F22:H22" si="5">SUM(F7:F21)</f>
        <v>3</v>
      </c>
      <c r="G22" s="39">
        <f t="shared" si="5"/>
        <v>4</v>
      </c>
      <c r="H22" s="39">
        <f t="shared" si="5"/>
        <v>1</v>
      </c>
      <c r="I22" s="40">
        <f t="shared" ref="I22:L22" si="6">SUMPRODUCT((I7:I21&lt;&gt;"")*(I7:I21))</f>
        <v>9</v>
      </c>
      <c r="J22" s="40">
        <f t="shared" si="6"/>
        <v>20</v>
      </c>
      <c r="K22" s="40">
        <f t="shared" si="6"/>
        <v>2</v>
      </c>
      <c r="L22" s="40">
        <f t="shared" si="6"/>
        <v>31</v>
      </c>
      <c r="M22" s="41">
        <f>IF(AND(M7&lt;&gt;"",M21&lt;&gt;""),M21-M7,"")</f>
        <v>2</v>
      </c>
    </row>
    <row r="23" ht="15.75" customHeight="1"/>
    <row r="24" ht="31.5" customHeight="1">
      <c r="A24" s="42"/>
      <c r="B24" s="43" t="s">
        <v>22</v>
      </c>
      <c r="C24" s="3"/>
      <c r="D24" s="3"/>
      <c r="E24" s="4"/>
    </row>
    <row r="25" ht="25.5" customHeight="1">
      <c r="A25" s="44"/>
      <c r="B25" s="45" t="s">
        <v>23</v>
      </c>
      <c r="C25" s="38"/>
      <c r="D25" s="46">
        <f>F22</f>
        <v>3</v>
      </c>
      <c r="E25" s="38"/>
    </row>
    <row r="26" ht="25.5" customHeight="1">
      <c r="A26" s="44"/>
      <c r="B26" s="45" t="s">
        <v>24</v>
      </c>
      <c r="C26" s="38"/>
      <c r="D26" s="46">
        <f>G22</f>
        <v>4</v>
      </c>
      <c r="E26" s="38"/>
    </row>
    <row r="27" ht="25.5" customHeight="1">
      <c r="A27" s="44"/>
      <c r="B27" s="45" t="s">
        <v>25</v>
      </c>
      <c r="C27" s="38"/>
      <c r="D27" s="46">
        <f>H22</f>
        <v>1</v>
      </c>
      <c r="E27" s="38"/>
    </row>
    <row r="28" ht="25.5" customHeight="1">
      <c r="A28" s="44"/>
      <c r="B28" s="45" t="s">
        <v>26</v>
      </c>
      <c r="C28" s="38"/>
      <c r="D28" s="47">
        <f>I22</f>
        <v>9</v>
      </c>
      <c r="E28" s="38"/>
    </row>
    <row r="29" ht="25.5" customHeight="1">
      <c r="A29" s="44"/>
      <c r="B29" s="45" t="s">
        <v>27</v>
      </c>
      <c r="C29" s="38"/>
      <c r="D29" s="47">
        <f>J22</f>
        <v>20</v>
      </c>
      <c r="E29" s="38"/>
    </row>
    <row r="30" ht="25.5" customHeight="1">
      <c r="A30" s="44"/>
      <c r="B30" s="45" t="s">
        <v>28</v>
      </c>
      <c r="C30" s="38"/>
      <c r="D30" s="47">
        <f>K22</f>
        <v>2</v>
      </c>
      <c r="E30" s="38"/>
    </row>
    <row r="31" ht="25.5" customHeight="1">
      <c r="A31" s="48"/>
      <c r="B31" s="49" t="s">
        <v>29</v>
      </c>
      <c r="C31" s="38"/>
      <c r="D31" s="50">
        <f>L22+(D33*300)</f>
        <v>331</v>
      </c>
      <c r="E31" s="38"/>
    </row>
    <row r="32" ht="25.5" customHeight="1">
      <c r="A32" s="51"/>
      <c r="B32" s="52" t="s">
        <v>30</v>
      </c>
      <c r="C32" s="38"/>
      <c r="D32" s="53">
        <f>M22</f>
        <v>2</v>
      </c>
      <c r="E32" s="38"/>
    </row>
    <row r="33" ht="25.5" customHeight="1">
      <c r="A33" s="44"/>
      <c r="B33" s="45" t="s">
        <v>31</v>
      </c>
      <c r="C33" s="38"/>
      <c r="D33" s="46">
        <f>COUNTA(C7:C21)</f>
        <v>1</v>
      </c>
      <c r="E33" s="38"/>
    </row>
    <row r="34" ht="15.75" customHeight="1"/>
    <row r="35" ht="15.75" customHeight="1">
      <c r="A35" s="5"/>
      <c r="B35" s="5" t="s">
        <v>32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1:M1"/>
    <mergeCell ref="B2:M2"/>
    <mergeCell ref="B4:C4"/>
    <mergeCell ref="J4:M4"/>
    <mergeCell ref="B22:E22"/>
    <mergeCell ref="B24:E24"/>
    <mergeCell ref="D25:E25"/>
    <mergeCell ref="B25:C25"/>
    <mergeCell ref="B26:C26"/>
    <mergeCell ref="D26:E26"/>
    <mergeCell ref="B27:C27"/>
    <mergeCell ref="D27:E27"/>
    <mergeCell ref="B28:C28"/>
    <mergeCell ref="D28:E28"/>
    <mergeCell ref="B32:C32"/>
    <mergeCell ref="B33:C33"/>
    <mergeCell ref="B35:M35"/>
    <mergeCell ref="B29:C29"/>
    <mergeCell ref="D29:E29"/>
    <mergeCell ref="B30:C30"/>
    <mergeCell ref="D30:E30"/>
    <mergeCell ref="B31:C31"/>
    <mergeCell ref="D31:E31"/>
    <mergeCell ref="D32:E32"/>
    <mergeCell ref="D33:E33"/>
  </mergeCells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2" width="49.43"/>
    <col customWidth="1" min="3" max="3" width="14.0"/>
    <col customWidth="1" min="4" max="4" width="18.0"/>
    <col customWidth="1" min="5" max="8" width="14.0"/>
    <col customWidth="1" min="9" max="13" width="16.0"/>
    <col customWidth="1" min="14" max="27" width="8.71"/>
  </cols>
  <sheetData>
    <row r="1" ht="39.7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4"/>
    </row>
    <row r="2" ht="21.75" customHeight="1">
      <c r="A2" s="5"/>
      <c r="B2" s="5" t="s">
        <v>1</v>
      </c>
    </row>
    <row r="4">
      <c r="A4" s="6"/>
      <c r="B4" s="6" t="s">
        <v>2</v>
      </c>
      <c r="D4" s="7" t="s">
        <v>3</v>
      </c>
      <c r="E4" s="8">
        <v>3.0</v>
      </c>
      <c r="F4" s="7" t="s">
        <v>4</v>
      </c>
      <c r="G4" s="8">
        <v>5.0</v>
      </c>
      <c r="H4" s="7" t="s">
        <v>5</v>
      </c>
      <c r="I4" s="9">
        <v>2.0</v>
      </c>
      <c r="J4" s="10" t="s">
        <v>6</v>
      </c>
    </row>
    <row r="6" ht="30.0" customHeight="1">
      <c r="A6" s="11"/>
      <c r="B6" s="12" t="s">
        <v>7</v>
      </c>
      <c r="C6" s="12" t="s">
        <v>8</v>
      </c>
      <c r="D6" s="12" t="s">
        <v>9</v>
      </c>
      <c r="E6" s="12" t="s">
        <v>10</v>
      </c>
      <c r="F6" s="12" t="s">
        <v>11</v>
      </c>
      <c r="G6" s="12" t="s">
        <v>12</v>
      </c>
      <c r="H6" s="12" t="s">
        <v>13</v>
      </c>
      <c r="I6" s="12" t="s">
        <v>14</v>
      </c>
      <c r="J6" s="12" t="s">
        <v>15</v>
      </c>
      <c r="K6" s="12" t="s">
        <v>16</v>
      </c>
      <c r="L6" s="12" t="s">
        <v>17</v>
      </c>
      <c r="M6" s="12" t="s">
        <v>18</v>
      </c>
    </row>
    <row r="7" ht="25.5" customHeight="1">
      <c r="A7" s="13"/>
      <c r="B7" s="14">
        <v>1.0</v>
      </c>
      <c r="C7" s="15">
        <v>46082.0</v>
      </c>
      <c r="D7" s="16" t="s">
        <v>19</v>
      </c>
      <c r="E7" s="17" t="s">
        <v>20</v>
      </c>
      <c r="F7" s="18">
        <v>3.0</v>
      </c>
      <c r="G7" s="18">
        <v>4.0</v>
      </c>
      <c r="H7" s="18">
        <v>1.0</v>
      </c>
      <c r="I7" s="19">
        <f t="shared" ref="I7:I21" si="1">IF(F7="","",F7*$E$4)</f>
        <v>9</v>
      </c>
      <c r="J7" s="20">
        <f t="shared" ref="J7:J21" si="2">IF(G7="","",G7*$G$4)</f>
        <v>20</v>
      </c>
      <c r="K7" s="21">
        <f t="shared" ref="K7:K21" si="3">IF(H7="","",H7*$I$4)</f>
        <v>2</v>
      </c>
      <c r="L7" s="22">
        <f t="shared" ref="L7:L21" si="4">IF(AND(I7="",J7="",K7=""),"",IFERROR(I7,0)+IFERROR(J7,0)+IFERROR(K7,0))</f>
        <v>31</v>
      </c>
      <c r="M7" s="18">
        <v>150.0</v>
      </c>
    </row>
    <row r="8" ht="25.5" customHeight="1">
      <c r="A8" s="23"/>
      <c r="B8" s="24">
        <v>2.0</v>
      </c>
      <c r="C8" s="25"/>
      <c r="D8" s="26"/>
      <c r="E8" s="24"/>
      <c r="F8" s="54"/>
      <c r="G8" s="27"/>
      <c r="H8" s="27"/>
      <c r="I8" s="28" t="str">
        <f t="shared" si="1"/>
        <v/>
      </c>
      <c r="J8" s="29" t="str">
        <f t="shared" si="2"/>
        <v/>
      </c>
      <c r="K8" s="30" t="str">
        <f t="shared" si="3"/>
        <v/>
      </c>
      <c r="L8" s="31" t="str">
        <f t="shared" si="4"/>
        <v/>
      </c>
      <c r="M8" s="18"/>
    </row>
    <row r="9" ht="25.5" customHeight="1">
      <c r="A9" s="13"/>
      <c r="B9" s="14">
        <v>3.0</v>
      </c>
      <c r="C9" s="32"/>
      <c r="D9" s="33"/>
      <c r="E9" s="14"/>
      <c r="F9" s="34"/>
      <c r="G9" s="34"/>
      <c r="H9" s="34"/>
      <c r="I9" s="19" t="str">
        <f t="shared" si="1"/>
        <v/>
      </c>
      <c r="J9" s="20" t="str">
        <f t="shared" si="2"/>
        <v/>
      </c>
      <c r="K9" s="21" t="str">
        <f t="shared" si="3"/>
        <v/>
      </c>
      <c r="L9" s="22" t="str">
        <f t="shared" si="4"/>
        <v/>
      </c>
      <c r="M9" s="18"/>
    </row>
    <row r="10" ht="25.5" customHeight="1">
      <c r="A10" s="23"/>
      <c r="B10" s="24">
        <v>4.0</v>
      </c>
      <c r="C10" s="25"/>
      <c r="D10" s="26"/>
      <c r="E10" s="24"/>
      <c r="F10" s="27"/>
      <c r="G10" s="27"/>
      <c r="H10" s="27"/>
      <c r="I10" s="28" t="str">
        <f t="shared" si="1"/>
        <v/>
      </c>
      <c r="J10" s="29" t="str">
        <f t="shared" si="2"/>
        <v/>
      </c>
      <c r="K10" s="30" t="str">
        <f t="shared" si="3"/>
        <v/>
      </c>
      <c r="L10" s="31" t="str">
        <f t="shared" si="4"/>
        <v/>
      </c>
      <c r="M10" s="18"/>
    </row>
    <row r="11" ht="25.5" customHeight="1">
      <c r="A11" s="13"/>
      <c r="B11" s="14">
        <v>5.0</v>
      </c>
      <c r="C11" s="32"/>
      <c r="D11" s="33"/>
      <c r="E11" s="14"/>
      <c r="F11" s="34"/>
      <c r="G11" s="34"/>
      <c r="H11" s="34"/>
      <c r="I11" s="19" t="str">
        <f t="shared" si="1"/>
        <v/>
      </c>
      <c r="J11" s="20" t="str">
        <f t="shared" si="2"/>
        <v/>
      </c>
      <c r="K11" s="21" t="str">
        <f t="shared" si="3"/>
        <v/>
      </c>
      <c r="L11" s="22" t="str">
        <f t="shared" si="4"/>
        <v/>
      </c>
      <c r="M11" s="18"/>
    </row>
    <row r="12" ht="25.5" customHeight="1">
      <c r="A12" s="23"/>
      <c r="B12" s="24">
        <v>6.0</v>
      </c>
      <c r="C12" s="25"/>
      <c r="D12" s="26"/>
      <c r="E12" s="24"/>
      <c r="F12" s="27"/>
      <c r="G12" s="27"/>
      <c r="H12" s="27"/>
      <c r="I12" s="28" t="str">
        <f t="shared" si="1"/>
        <v/>
      </c>
      <c r="J12" s="29" t="str">
        <f t="shared" si="2"/>
        <v/>
      </c>
      <c r="K12" s="30" t="str">
        <f t="shared" si="3"/>
        <v/>
      </c>
      <c r="L12" s="31" t="str">
        <f t="shared" si="4"/>
        <v/>
      </c>
      <c r="M12" s="18"/>
    </row>
    <row r="13" ht="25.5" customHeight="1">
      <c r="A13" s="13"/>
      <c r="B13" s="14">
        <v>7.0</v>
      </c>
      <c r="C13" s="32"/>
      <c r="D13" s="33"/>
      <c r="E13" s="14"/>
      <c r="F13" s="34"/>
      <c r="G13" s="34"/>
      <c r="H13" s="34"/>
      <c r="I13" s="19" t="str">
        <f t="shared" si="1"/>
        <v/>
      </c>
      <c r="J13" s="20" t="str">
        <f t="shared" si="2"/>
        <v/>
      </c>
      <c r="K13" s="21" t="str">
        <f t="shared" si="3"/>
        <v/>
      </c>
      <c r="L13" s="22" t="str">
        <f t="shared" si="4"/>
        <v/>
      </c>
      <c r="M13" s="18"/>
    </row>
    <row r="14" ht="25.5" customHeight="1">
      <c r="A14" s="23"/>
      <c r="B14" s="24">
        <v>8.0</v>
      </c>
      <c r="C14" s="25"/>
      <c r="D14" s="26"/>
      <c r="E14" s="24"/>
      <c r="F14" s="27"/>
      <c r="G14" s="27"/>
      <c r="H14" s="27"/>
      <c r="I14" s="28" t="str">
        <f t="shared" si="1"/>
        <v/>
      </c>
      <c r="J14" s="29" t="str">
        <f t="shared" si="2"/>
        <v/>
      </c>
      <c r="K14" s="30" t="str">
        <f t="shared" si="3"/>
        <v/>
      </c>
      <c r="L14" s="31" t="str">
        <f t="shared" si="4"/>
        <v/>
      </c>
      <c r="M14" s="18"/>
    </row>
    <row r="15" ht="25.5" customHeight="1">
      <c r="A15" s="13"/>
      <c r="B15" s="14">
        <v>9.0</v>
      </c>
      <c r="C15" s="32"/>
      <c r="D15" s="33"/>
      <c r="E15" s="14"/>
      <c r="F15" s="34"/>
      <c r="G15" s="34"/>
      <c r="H15" s="34"/>
      <c r="I15" s="19" t="str">
        <f t="shared" si="1"/>
        <v/>
      </c>
      <c r="J15" s="20" t="str">
        <f t="shared" si="2"/>
        <v/>
      </c>
      <c r="K15" s="21" t="str">
        <f t="shared" si="3"/>
        <v/>
      </c>
      <c r="L15" s="22" t="str">
        <f t="shared" si="4"/>
        <v/>
      </c>
      <c r="M15" s="18"/>
    </row>
    <row r="16" ht="25.5" customHeight="1">
      <c r="A16" s="23"/>
      <c r="B16" s="24">
        <v>10.0</v>
      </c>
      <c r="C16" s="25"/>
      <c r="D16" s="26"/>
      <c r="E16" s="24"/>
      <c r="F16" s="27"/>
      <c r="G16" s="27"/>
      <c r="H16" s="27"/>
      <c r="I16" s="28" t="str">
        <f t="shared" si="1"/>
        <v/>
      </c>
      <c r="J16" s="29" t="str">
        <f t="shared" si="2"/>
        <v/>
      </c>
      <c r="K16" s="30" t="str">
        <f t="shared" si="3"/>
        <v/>
      </c>
      <c r="L16" s="31" t="str">
        <f t="shared" si="4"/>
        <v/>
      </c>
      <c r="M16" s="18"/>
    </row>
    <row r="17" ht="25.5" customHeight="1">
      <c r="A17" s="13"/>
      <c r="B17" s="14">
        <v>11.0</v>
      </c>
      <c r="C17" s="32"/>
      <c r="D17" s="33"/>
      <c r="E17" s="14"/>
      <c r="F17" s="34"/>
      <c r="G17" s="34"/>
      <c r="H17" s="34"/>
      <c r="I17" s="19" t="str">
        <f t="shared" si="1"/>
        <v/>
      </c>
      <c r="J17" s="20" t="str">
        <f t="shared" si="2"/>
        <v/>
      </c>
      <c r="K17" s="21" t="str">
        <f t="shared" si="3"/>
        <v/>
      </c>
      <c r="L17" s="22" t="str">
        <f t="shared" si="4"/>
        <v/>
      </c>
      <c r="M17" s="18"/>
    </row>
    <row r="18" ht="25.5" customHeight="1">
      <c r="A18" s="23"/>
      <c r="B18" s="24">
        <v>12.0</v>
      </c>
      <c r="C18" s="25"/>
      <c r="D18" s="26"/>
      <c r="E18" s="24"/>
      <c r="F18" s="27"/>
      <c r="G18" s="27"/>
      <c r="H18" s="27"/>
      <c r="I18" s="28" t="str">
        <f t="shared" si="1"/>
        <v/>
      </c>
      <c r="J18" s="29" t="str">
        <f t="shared" si="2"/>
        <v/>
      </c>
      <c r="K18" s="30" t="str">
        <f t="shared" si="3"/>
        <v/>
      </c>
      <c r="L18" s="31" t="str">
        <f t="shared" si="4"/>
        <v/>
      </c>
      <c r="M18" s="18"/>
    </row>
    <row r="19" ht="25.5" customHeight="1">
      <c r="A19" s="13"/>
      <c r="B19" s="14">
        <v>13.0</v>
      </c>
      <c r="C19" s="32"/>
      <c r="D19" s="33"/>
      <c r="E19" s="14"/>
      <c r="F19" s="34"/>
      <c r="G19" s="34"/>
      <c r="H19" s="34"/>
      <c r="I19" s="19" t="str">
        <f t="shared" si="1"/>
        <v/>
      </c>
      <c r="J19" s="20" t="str">
        <f t="shared" si="2"/>
        <v/>
      </c>
      <c r="K19" s="21" t="str">
        <f t="shared" si="3"/>
        <v/>
      </c>
      <c r="L19" s="22" t="str">
        <f t="shared" si="4"/>
        <v/>
      </c>
      <c r="M19" s="18"/>
    </row>
    <row r="20" ht="25.5" customHeight="1">
      <c r="A20" s="23"/>
      <c r="B20" s="24">
        <v>14.0</v>
      </c>
      <c r="C20" s="25"/>
      <c r="D20" s="26"/>
      <c r="E20" s="24"/>
      <c r="F20" s="27"/>
      <c r="G20" s="27"/>
      <c r="H20" s="27"/>
      <c r="I20" s="28" t="str">
        <f t="shared" si="1"/>
        <v/>
      </c>
      <c r="J20" s="29" t="str">
        <f t="shared" si="2"/>
        <v/>
      </c>
      <c r="K20" s="30" t="str">
        <f t="shared" si="3"/>
        <v/>
      </c>
      <c r="L20" s="31" t="str">
        <f t="shared" si="4"/>
        <v/>
      </c>
      <c r="M20" s="18"/>
    </row>
    <row r="21" ht="25.5" customHeight="1">
      <c r="A21" s="13"/>
      <c r="B21" s="14">
        <v>15.0</v>
      </c>
      <c r="C21" s="32"/>
      <c r="D21" s="33"/>
      <c r="E21" s="14"/>
      <c r="F21" s="34"/>
      <c r="G21" s="34"/>
      <c r="H21" s="34"/>
      <c r="I21" s="19" t="str">
        <f t="shared" si="1"/>
        <v/>
      </c>
      <c r="J21" s="20" t="str">
        <f t="shared" si="2"/>
        <v/>
      </c>
      <c r="K21" s="21" t="str">
        <f t="shared" si="3"/>
        <v/>
      </c>
      <c r="L21" s="22" t="str">
        <f t="shared" si="4"/>
        <v/>
      </c>
      <c r="M21" s="18"/>
    </row>
    <row r="22" ht="31.5" customHeight="1">
      <c r="A22" s="35"/>
      <c r="B22" s="36" t="s">
        <v>21</v>
      </c>
      <c r="C22" s="37"/>
      <c r="D22" s="37"/>
      <c r="E22" s="38"/>
      <c r="F22" s="39">
        <f t="shared" ref="F22:H22" si="5">SUM(F7:F21)</f>
        <v>3</v>
      </c>
      <c r="G22" s="39">
        <f t="shared" si="5"/>
        <v>4</v>
      </c>
      <c r="H22" s="39">
        <f t="shared" si="5"/>
        <v>1</v>
      </c>
      <c r="I22" s="40">
        <f t="shared" ref="I22:L22" si="6">SUMPRODUCT((I7:I21&lt;&gt;"")*(I7:I21))</f>
        <v>9</v>
      </c>
      <c r="J22" s="40">
        <f t="shared" si="6"/>
        <v>20</v>
      </c>
      <c r="K22" s="40">
        <f t="shared" si="6"/>
        <v>2</v>
      </c>
      <c r="L22" s="40">
        <f t="shared" si="6"/>
        <v>31</v>
      </c>
      <c r="M22" s="41" t="str">
        <f>IF(AND(M7&lt;&gt;"",M21&lt;&gt;""),M21-M7,"")</f>
        <v/>
      </c>
    </row>
    <row r="23" ht="15.75" customHeight="1"/>
    <row r="24" ht="31.5" customHeight="1">
      <c r="A24" s="42"/>
      <c r="B24" s="43" t="s">
        <v>22</v>
      </c>
      <c r="C24" s="3"/>
      <c r="D24" s="3"/>
      <c r="E24" s="4"/>
    </row>
    <row r="25" ht="25.5" customHeight="1">
      <c r="A25" s="44"/>
      <c r="B25" s="45" t="s">
        <v>23</v>
      </c>
      <c r="C25" s="38"/>
      <c r="D25" s="46">
        <f>F22</f>
        <v>3</v>
      </c>
      <c r="E25" s="38"/>
    </row>
    <row r="26" ht="25.5" customHeight="1">
      <c r="A26" s="44"/>
      <c r="B26" s="45" t="s">
        <v>24</v>
      </c>
      <c r="C26" s="38"/>
      <c r="D26" s="46">
        <f>G22</f>
        <v>4</v>
      </c>
      <c r="E26" s="38"/>
    </row>
    <row r="27" ht="25.5" customHeight="1">
      <c r="A27" s="44"/>
      <c r="B27" s="45" t="s">
        <v>25</v>
      </c>
      <c r="C27" s="38"/>
      <c r="D27" s="46">
        <f>H22</f>
        <v>1</v>
      </c>
      <c r="E27" s="38"/>
    </row>
    <row r="28" ht="25.5" customHeight="1">
      <c r="A28" s="44"/>
      <c r="B28" s="45" t="s">
        <v>26</v>
      </c>
      <c r="C28" s="38"/>
      <c r="D28" s="47">
        <f>I22</f>
        <v>9</v>
      </c>
      <c r="E28" s="38"/>
    </row>
    <row r="29" ht="25.5" customHeight="1">
      <c r="A29" s="44"/>
      <c r="B29" s="45" t="s">
        <v>27</v>
      </c>
      <c r="C29" s="38"/>
      <c r="D29" s="47">
        <f>J22</f>
        <v>20</v>
      </c>
      <c r="E29" s="38"/>
    </row>
    <row r="30" ht="25.5" customHeight="1">
      <c r="A30" s="44"/>
      <c r="B30" s="45" t="s">
        <v>28</v>
      </c>
      <c r="C30" s="38"/>
      <c r="D30" s="47">
        <f>K22</f>
        <v>2</v>
      </c>
      <c r="E30" s="38"/>
    </row>
    <row r="31" ht="25.5" customHeight="1">
      <c r="A31" s="48"/>
      <c r="B31" s="49" t="s">
        <v>29</v>
      </c>
      <c r="C31" s="38"/>
      <c r="D31" s="50">
        <f>L22+(D33*300)</f>
        <v>331</v>
      </c>
      <c r="E31" s="38"/>
    </row>
    <row r="32" ht="25.5" customHeight="1">
      <c r="A32" s="51"/>
      <c r="B32" s="52" t="s">
        <v>30</v>
      </c>
      <c r="C32" s="38"/>
      <c r="D32" s="53" t="str">
        <f>M22</f>
        <v/>
      </c>
      <c r="E32" s="38"/>
    </row>
    <row r="33" ht="25.5" customHeight="1">
      <c r="A33" s="44"/>
      <c r="B33" s="45" t="s">
        <v>31</v>
      </c>
      <c r="C33" s="38"/>
      <c r="D33" s="46">
        <f>COUNTA(C7:C21)</f>
        <v>1</v>
      </c>
      <c r="E33" s="38"/>
    </row>
    <row r="34" ht="15.75" customHeight="1"/>
    <row r="35" ht="15.75" customHeight="1">
      <c r="A35" s="5"/>
      <c r="B35" s="5" t="s">
        <v>32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1:M1"/>
    <mergeCell ref="B2:M2"/>
    <mergeCell ref="B4:C4"/>
    <mergeCell ref="J4:M4"/>
    <mergeCell ref="B22:E22"/>
    <mergeCell ref="B24:E24"/>
    <mergeCell ref="D25:E25"/>
    <mergeCell ref="B32:C32"/>
    <mergeCell ref="B33:C33"/>
    <mergeCell ref="B35:M35"/>
    <mergeCell ref="D32:E32"/>
    <mergeCell ref="D33:E33"/>
    <mergeCell ref="B29:C29"/>
    <mergeCell ref="D29:E29"/>
    <mergeCell ref="B30:C30"/>
    <mergeCell ref="D30:E30"/>
    <mergeCell ref="B31:C31"/>
    <mergeCell ref="D31:E31"/>
    <mergeCell ref="B25:C25"/>
    <mergeCell ref="B26:C26"/>
    <mergeCell ref="D26:E26"/>
    <mergeCell ref="B27:C27"/>
    <mergeCell ref="D27:E27"/>
    <mergeCell ref="B28:C28"/>
    <mergeCell ref="D28:E28"/>
  </mergeCells>
  <printOptions/>
  <pageMargins bottom="1.0" footer="0.0" header="0.0" left="0.75" right="0.75" top="1.0"/>
  <pageSetup fitToHeight="0" orientation="landscape"/>
  <drawing r:id="rId1"/>
</worksheet>
</file>