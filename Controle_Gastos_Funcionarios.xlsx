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figuração" sheetId="1" state="visible" r:id="rId1"/>
    <sheet name="Registro Diário" sheetId="2" state="visible" r:id="rId2"/>
    <sheet name="Resumo Mensal" sheetId="3" state="visible" r:id="rId3"/>
  </sheets>
  <definedNames>
    <definedName name="_xlnm._FilterDatabase" localSheetId="1" hidden="1">'Registro Diário'!$A$4:$F$204</definedName>
    <definedName name="_xlnm._FilterDatabase" localSheetId="2" hidden="1">'Resumo Mensal'!$A$4:$F$54</definedName>
  </definedNames>
  <calcPr calcId="124519" fullCalcOnLoad="1"/>
</workbook>
</file>

<file path=xl/styles.xml><?xml version="1.0" encoding="utf-8"?>
<styleSheet xmlns="http://schemas.openxmlformats.org/spreadsheetml/2006/main">
  <numFmts count="3">
    <numFmt numFmtId="164" formatCode="R$ #,##0.00"/>
    <numFmt numFmtId="165" formatCode="MM/YYYY"/>
    <numFmt numFmtId="166" formatCode="DD/MM/YYYY"/>
  </numFmts>
  <fonts count="10">
    <font>
      <name val="Calibri"/>
      <family val="2"/>
      <color theme="1"/>
      <sz val="11"/>
      <scheme val="minor"/>
    </font>
    <font>
      <name val="Calibri"/>
      <b val="1"/>
      <color rgb="00FFFFFF"/>
      <sz val="16"/>
    </font>
    <font>
      <name val="Calibri"/>
      <b val="1"/>
      <color rgb="00FFFFFF"/>
      <sz val="11"/>
    </font>
    <font>
      <name val="Calibri"/>
      <color rgb="001A1A1A"/>
      <sz val="11"/>
    </font>
    <font>
      <name val="Calibri"/>
      <b val="1"/>
      <color rgb="00178A45"/>
      <sz val="12"/>
    </font>
    <font>
      <name val="Calibri"/>
      <color rgb="00444444"/>
      <sz val="10"/>
    </font>
    <font>
      <name val="Calibri"/>
      <b val="1"/>
      <color rgb="00178A45"/>
      <sz val="11"/>
    </font>
    <font>
      <name val="Calibri"/>
      <b val="1"/>
      <color rgb="001A1A1A"/>
      <sz val="11"/>
    </font>
    <font>
      <name val="Calibri"/>
      <color rgb="00888888"/>
      <sz val="10"/>
    </font>
    <font>
      <name val="Calibri"/>
      <b val="1"/>
      <color rgb="00155724"/>
      <sz val="11"/>
    </font>
  </fonts>
  <fills count="9">
    <fill>
      <patternFill/>
    </fill>
    <fill>
      <patternFill patternType="gray125"/>
    </fill>
    <fill>
      <patternFill patternType="solid">
        <fgColor rgb="001FAA59"/>
        <bgColor rgb="001FAA59"/>
      </patternFill>
    </fill>
    <fill>
      <patternFill patternType="solid">
        <fgColor rgb="00162447"/>
        <bgColor rgb="00162447"/>
      </patternFill>
    </fill>
    <fill>
      <patternFill patternType="solid">
        <fgColor rgb="00FFF3CD"/>
        <bgColor rgb="00FFF3CD"/>
      </patternFill>
    </fill>
    <fill>
      <patternFill patternType="solid">
        <fgColor rgb="00FFFFFF"/>
        <bgColor rgb="00FFFFFF"/>
      </patternFill>
    </fill>
    <fill>
      <patternFill patternType="solid">
        <fgColor rgb="00F0F7F2"/>
        <bgColor rgb="00F0F7F2"/>
      </patternFill>
    </fill>
    <fill>
      <patternFill patternType="solid">
        <fgColor rgb="00D4EDDA"/>
        <bgColor rgb="00D4EDDA"/>
      </patternFill>
    </fill>
    <fill>
      <patternFill patternType="solid">
        <fgColor rgb="00D1ECF1"/>
        <bgColor rgb="00D1ECF1"/>
      </patternFill>
    </fill>
  </fills>
  <borders count="2">
    <border>
      <left/>
      <right/>
      <top/>
      <bottom/>
      <diagonal/>
    </border>
    <border>
      <left style="thin">
        <color rgb="00C8C8C8"/>
      </left>
      <right style="thin">
        <color rgb="00C8C8C8"/>
      </right>
      <top style="thin">
        <color rgb="00C8C8C8"/>
      </top>
      <bottom style="thin">
        <color rgb="00C8C8C8"/>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3" borderId="1" applyAlignment="1" pivotButton="0" quotePrefix="0" xfId="0">
      <alignment horizontal="center" vertical="center" wrapText="1"/>
    </xf>
    <xf numFmtId="0" fontId="3" fillId="0" borderId="1" applyAlignment="1" pivotButton="0" quotePrefix="0" xfId="0">
      <alignment horizontal="left" vertical="center"/>
    </xf>
    <xf numFmtId="164" fontId="3" fillId="4" borderId="1" applyAlignment="1" pivotButton="0" quotePrefix="0" xfId="0">
      <alignment horizontal="center" vertical="center"/>
    </xf>
    <xf numFmtId="0" fontId="4" fillId="0" borderId="0" applyAlignment="1" pivotButton="0" quotePrefix="0" xfId="0">
      <alignment horizontal="left" vertical="center"/>
    </xf>
    <xf numFmtId="0" fontId="5" fillId="0" borderId="0" applyAlignment="1" pivotButton="0" quotePrefix="0" xfId="0">
      <alignment horizontal="left" vertical="center" wrapText="1"/>
    </xf>
    <xf numFmtId="0" fontId="6" fillId="0" borderId="0" applyAlignment="1" pivotButton="0" quotePrefix="0" xfId="0">
      <alignment horizontal="right" vertical="center"/>
    </xf>
    <xf numFmtId="165" fontId="7" fillId="4" borderId="1" pivotButton="0" quotePrefix="0" xfId="0"/>
    <xf numFmtId="0" fontId="8" fillId="5" borderId="1" applyAlignment="1" pivotButton="0" quotePrefix="0" xfId="0">
      <alignment horizontal="center" vertical="center"/>
    </xf>
    <xf numFmtId="166" fontId="3" fillId="5" borderId="1" applyAlignment="1" pivotButton="0" quotePrefix="0" xfId="0">
      <alignment horizontal="center" vertical="center"/>
    </xf>
    <xf numFmtId="0" fontId="3" fillId="5" borderId="1" applyAlignment="1" pivotButton="0" quotePrefix="0" xfId="0">
      <alignment horizontal="left" vertical="center"/>
    </xf>
    <xf numFmtId="0" fontId="3" fillId="5" borderId="1" applyAlignment="1" pivotButton="0" quotePrefix="0" xfId="0">
      <alignment horizontal="center" vertical="center"/>
    </xf>
    <xf numFmtId="164" fontId="3" fillId="5" borderId="1" applyAlignment="1" pivotButton="0" quotePrefix="0" xfId="0">
      <alignment horizontal="center" vertical="center"/>
    </xf>
    <xf numFmtId="0" fontId="8" fillId="6" borderId="1" applyAlignment="1" pivotButton="0" quotePrefix="0" xfId="0">
      <alignment horizontal="center" vertical="center"/>
    </xf>
    <xf numFmtId="166" fontId="3" fillId="6" borderId="1" applyAlignment="1" pivotButton="0" quotePrefix="0" xfId="0">
      <alignment horizontal="center" vertical="center"/>
    </xf>
    <xf numFmtId="0" fontId="3" fillId="6" borderId="1" applyAlignment="1" pivotButton="0" quotePrefix="0" xfId="0">
      <alignment horizontal="left" vertical="center"/>
    </xf>
    <xf numFmtId="0" fontId="3" fillId="6" borderId="1" applyAlignment="1" pivotButton="0" quotePrefix="0" xfId="0">
      <alignment horizontal="center" vertical="center"/>
    </xf>
    <xf numFmtId="164" fontId="3" fillId="6" borderId="1" applyAlignment="1" pivotButton="0" quotePrefix="0" xfId="0">
      <alignment horizontal="center" vertical="center"/>
    </xf>
    <xf numFmtId="0" fontId="9" fillId="7" borderId="1" applyAlignment="1" pivotButton="0" quotePrefix="0" xfId="0">
      <alignment horizontal="right" vertical="center"/>
    </xf>
    <xf numFmtId="0" fontId="0" fillId="7" borderId="1" pivotButton="0" quotePrefix="0" xfId="0"/>
    <xf numFmtId="164" fontId="9" fillId="7" borderId="1" applyAlignment="1" pivotButton="0" quotePrefix="0" xfId="0">
      <alignment horizontal="center" vertical="center"/>
    </xf>
    <xf numFmtId="165" fontId="7" fillId="0" borderId="0" pivotButton="0" quotePrefix="0" xfId="0"/>
    <xf numFmtId="3" fontId="7" fillId="5" borderId="1" applyAlignment="1" pivotButton="0" quotePrefix="0" xfId="0">
      <alignment horizontal="center" vertical="center"/>
    </xf>
    <xf numFmtId="164" fontId="6" fillId="5" borderId="1" applyAlignment="1" pivotButton="0" quotePrefix="0" xfId="0">
      <alignment horizontal="center" vertical="center"/>
    </xf>
    <xf numFmtId="3" fontId="7" fillId="6" borderId="1" applyAlignment="1" pivotButton="0" quotePrefix="0" xfId="0">
      <alignment horizontal="center" vertical="center"/>
    </xf>
    <xf numFmtId="164" fontId="6" fillId="6" borderId="1" applyAlignment="1" pivotButton="0" quotePrefix="0" xfId="0">
      <alignment horizontal="center" vertical="center"/>
    </xf>
    <xf numFmtId="3" fontId="9" fillId="7" borderId="1" applyAlignment="1" pivotButton="0" quotePrefix="0" xfId="0">
      <alignment horizontal="center" vertical="center"/>
    </xf>
    <xf numFmtId="0" fontId="4" fillId="8" borderId="0" applyAlignment="1" pivotButton="0" quotePrefix="0" xfId="0">
      <alignment horizontal="left" vertical="center"/>
    </xf>
    <xf numFmtId="0" fontId="0" fillId="8" borderId="0" pivotButton="0" quotePrefix="0" xfId="0"/>
    <xf numFmtId="0" fontId="7" fillId="0" borderId="1" applyAlignment="1" pivotButton="0" quotePrefix="0" xfId="0">
      <alignment horizontal="right" vertical="center"/>
    </xf>
    <xf numFmtId="0" fontId="0" fillId="0" borderId="1" pivotButton="0" quotePrefix="0" xfId="0"/>
    <xf numFmtId="3" fontId="7" fillId="0" borderId="1" applyAlignment="1" pivotButton="0" quotePrefix="0" xfId="0">
      <alignment horizontal="center" vertical="center"/>
    </xf>
    <xf numFmtId="164" fontId="6" fillId="0" borderId="1" applyAlignment="1" pivotButton="0" quotePrefix="0" xfId="0">
      <alignment horizontal="center" vertical="center"/>
    </xf>
  </cellXfs>
  <cellStyles count="1">
    <cellStyle name="Normal" xfId="0" builtinId="0" hidden="0"/>
  </cellStyles>
  <dxfs count="1">
    <dxf>
      <fill>
        <patternFill patternType="solid">
          <fgColor rgb="00F8D7DA"/>
          <b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AA59"/>
    <outlinePr summaryBelow="1" summaryRight="1"/>
    <pageSetUpPr fitToPage="1"/>
  </sheetPr>
  <dimension ref="B2:C13"/>
  <sheetViews>
    <sheetView workbookViewId="0">
      <selection activeCell="A1" sqref="A1"/>
    </sheetView>
  </sheetViews>
  <sheetFormatPr baseColWidth="8" defaultRowHeight="15"/>
  <cols>
    <col width="3" customWidth="1" min="1" max="1"/>
    <col width="25" customWidth="1" min="2" max="2"/>
    <col width="22" customWidth="1" min="3" max="3"/>
    <col width="3" customWidth="1" min="4" max="4"/>
  </cols>
  <sheetData>
    <row r="2">
      <c r="B2" s="1" t="inlineStr">
        <is>
          <t>CONFIGURAÇÃO</t>
        </is>
      </c>
      <c r="C2" s="2" t="n"/>
    </row>
    <row r="4">
      <c r="B4" s="3" t="inlineStr">
        <is>
          <t>Cargo</t>
        </is>
      </c>
      <c r="C4" s="3" t="inlineStr">
        <is>
          <t>Valor da Diária (R$)</t>
        </is>
      </c>
    </row>
    <row r="5">
      <c r="B5" s="4" t="inlineStr">
        <is>
          <t>Motorista</t>
        </is>
      </c>
      <c r="C5" s="5" t="n">
        <v>250</v>
      </c>
    </row>
    <row r="6">
      <c r="B6" s="4" t="inlineStr">
        <is>
          <t>Ajudante</t>
        </is>
      </c>
      <c r="C6" s="5" t="n">
        <v>150</v>
      </c>
    </row>
    <row r="8">
      <c r="B8" s="6" t="inlineStr">
        <is>
          <t>Como usar</t>
        </is>
      </c>
    </row>
    <row r="9" ht="22" customHeight="1">
      <c r="B9" s="7" t="inlineStr">
        <is>
          <t>1. Preencha os valores das diárias acima (células amarelas).</t>
        </is>
      </c>
    </row>
    <row r="10" ht="22" customHeight="1">
      <c r="B10" s="7" t="inlineStr">
        <is>
          <t>2. Na aba 'Registro Diário', lance os funcionários e os dias trabalhados.</t>
        </is>
      </c>
    </row>
    <row r="11" ht="22" customHeight="1">
      <c r="B11" s="7" t="inlineStr">
        <is>
          <t>3. A aba 'Resumo Mensal' calcula automaticamente o total de cada um.</t>
        </is>
      </c>
    </row>
    <row r="12" ht="22" customHeight="1">
      <c r="B12" s="7" t="inlineStr">
        <is>
          <t>4. Use os filtros para visualizar por cargo ou funcionário.</t>
        </is>
      </c>
    </row>
    <row r="13" ht="22" customHeight="1">
      <c r="B13" s="7" t="inlineStr">
        <is>
          <t>5. Os campos de cargo têm dropdown — basta selecionar.</t>
        </is>
      </c>
    </row>
  </sheetData>
  <mergeCells count="7">
    <mergeCell ref="B13:C13"/>
    <mergeCell ref="B2:C2"/>
    <mergeCell ref="B11:C11"/>
    <mergeCell ref="B10:C10"/>
    <mergeCell ref="B9:C9"/>
    <mergeCell ref="B8:C8"/>
    <mergeCell ref="B12:C12"/>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162447"/>
    <outlinePr summaryBelow="1" summaryRight="1"/>
    <pageSetUpPr fitToPage="1"/>
  </sheetPr>
  <dimension ref="A1:F205"/>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30" customWidth="1" min="3" max="3"/>
    <col width="16" customWidth="1" min="4" max="4"/>
    <col width="16" customWidth="1" min="5" max="5"/>
    <col width="28" customWidth="1" min="6" max="6"/>
  </cols>
  <sheetData>
    <row r="1" ht="36" customHeight="1">
      <c r="A1" s="1" t="inlineStr">
        <is>
          <t>REGISTRO DIÁRIO DE FUNCIONÁRIOS</t>
        </is>
      </c>
      <c r="B1" s="2" t="n"/>
      <c r="C1" s="2" t="n"/>
      <c r="D1" s="2" t="n"/>
      <c r="E1" s="2" t="n"/>
      <c r="F1" s="2" t="n"/>
    </row>
    <row r="2" ht="28" customHeight="1">
      <c r="A2" s="8" t="inlineStr">
        <is>
          <t>Mês/Ano:</t>
        </is>
      </c>
      <c r="C2" s="9" t="inlineStr"/>
    </row>
    <row r="4" ht="30" customHeight="1">
      <c r="A4" s="3" t="inlineStr">
        <is>
          <t>Nº</t>
        </is>
      </c>
      <c r="B4" s="3" t="inlineStr">
        <is>
          <t>Data</t>
        </is>
      </c>
      <c r="C4" s="3" t="inlineStr">
        <is>
          <t>Funcionário</t>
        </is>
      </c>
      <c r="D4" s="3" t="inlineStr">
        <is>
          <t>Cargo</t>
        </is>
      </c>
      <c r="E4" s="3" t="inlineStr">
        <is>
          <t>Valor Diária</t>
        </is>
      </c>
      <c r="F4" s="3" t="inlineStr">
        <is>
          <t>Observação</t>
        </is>
      </c>
    </row>
    <row r="5" ht="22" customHeight="1">
      <c r="A5" s="10" t="n">
        <v>1</v>
      </c>
      <c r="B5" s="11" t="n"/>
      <c r="C5" s="12" t="n"/>
      <c r="D5" s="13" t="n"/>
      <c r="E5" s="14">
        <f>IF(D5="","",VLOOKUP(D5,Configuração!B5:C6,2,FALSE))</f>
        <v/>
      </c>
      <c r="F5" s="12" t="n"/>
    </row>
    <row r="6" ht="22" customHeight="1">
      <c r="A6" s="15" t="n">
        <v>2</v>
      </c>
      <c r="B6" s="16" t="n"/>
      <c r="C6" s="17" t="n"/>
      <c r="D6" s="18" t="n"/>
      <c r="E6" s="19">
        <f>IF(D6="","",VLOOKUP(D6,Configuração!B5:C6,2,FALSE))</f>
        <v/>
      </c>
      <c r="F6" s="17" t="n"/>
    </row>
    <row r="7" ht="22" customHeight="1">
      <c r="A7" s="10" t="n">
        <v>3</v>
      </c>
      <c r="B7" s="11" t="n"/>
      <c r="C7" s="12" t="n"/>
      <c r="D7" s="13" t="n"/>
      <c r="E7" s="14">
        <f>IF(D7="","",VLOOKUP(D7,Configuração!B5:C6,2,FALSE))</f>
        <v/>
      </c>
      <c r="F7" s="12" t="n"/>
    </row>
    <row r="8" ht="22" customHeight="1">
      <c r="A8" s="15" t="n">
        <v>4</v>
      </c>
      <c r="B8" s="16" t="n"/>
      <c r="C8" s="17" t="n"/>
      <c r="D8" s="18" t="n"/>
      <c r="E8" s="19">
        <f>IF(D8="","",VLOOKUP(D8,Configuração!B5:C6,2,FALSE))</f>
        <v/>
      </c>
      <c r="F8" s="17" t="n"/>
    </row>
    <row r="9" ht="22" customHeight="1">
      <c r="A9" s="10" t="n">
        <v>5</v>
      </c>
      <c r="B9" s="11" t="n"/>
      <c r="C9" s="12" t="n"/>
      <c r="D9" s="13" t="n"/>
      <c r="E9" s="14">
        <f>IF(D9="","",VLOOKUP(D9,Configuração!B5:C6,2,FALSE))</f>
        <v/>
      </c>
      <c r="F9" s="12" t="n"/>
    </row>
    <row r="10" ht="22" customHeight="1">
      <c r="A10" s="15" t="n">
        <v>6</v>
      </c>
      <c r="B10" s="16" t="n"/>
      <c r="C10" s="17" t="n"/>
      <c r="D10" s="18" t="n"/>
      <c r="E10" s="19">
        <f>IF(D10="","",VLOOKUP(D10,Configuração!B5:C6,2,FALSE))</f>
        <v/>
      </c>
      <c r="F10" s="17" t="n"/>
    </row>
    <row r="11" ht="22" customHeight="1">
      <c r="A11" s="10" t="n">
        <v>7</v>
      </c>
      <c r="B11" s="11" t="n"/>
      <c r="C11" s="12" t="n"/>
      <c r="D11" s="13" t="n"/>
      <c r="E11" s="14">
        <f>IF(D11="","",VLOOKUP(D11,Configuração!B5:C6,2,FALSE))</f>
        <v/>
      </c>
      <c r="F11" s="12" t="n"/>
    </row>
    <row r="12" ht="22" customHeight="1">
      <c r="A12" s="15" t="n">
        <v>8</v>
      </c>
      <c r="B12" s="16" t="n"/>
      <c r="C12" s="17" t="n"/>
      <c r="D12" s="18" t="n"/>
      <c r="E12" s="19">
        <f>IF(D12="","",VLOOKUP(D12,Configuração!B5:C6,2,FALSE))</f>
        <v/>
      </c>
      <c r="F12" s="17" t="n"/>
    </row>
    <row r="13" ht="22" customHeight="1">
      <c r="A13" s="10" t="n">
        <v>9</v>
      </c>
      <c r="B13" s="11" t="n"/>
      <c r="C13" s="12" t="n"/>
      <c r="D13" s="13" t="n"/>
      <c r="E13" s="14">
        <f>IF(D13="","",VLOOKUP(D13,Configuração!B5:C6,2,FALSE))</f>
        <v/>
      </c>
      <c r="F13" s="12" t="n"/>
    </row>
    <row r="14" ht="22" customHeight="1">
      <c r="A14" s="15" t="n">
        <v>10</v>
      </c>
      <c r="B14" s="16" t="n"/>
      <c r="C14" s="17" t="n"/>
      <c r="D14" s="18" t="n"/>
      <c r="E14" s="19">
        <f>IF(D14="","",VLOOKUP(D14,Configuração!B5:C6,2,FALSE))</f>
        <v/>
      </c>
      <c r="F14" s="17" t="n"/>
    </row>
    <row r="15" ht="22" customHeight="1">
      <c r="A15" s="10" t="n">
        <v>11</v>
      </c>
      <c r="B15" s="11" t="n"/>
      <c r="C15" s="12" t="n"/>
      <c r="D15" s="13" t="n"/>
      <c r="E15" s="14">
        <f>IF(D15="","",VLOOKUP(D15,Configuração!B5:C6,2,FALSE))</f>
        <v/>
      </c>
      <c r="F15" s="12" t="n"/>
    </row>
    <row r="16" ht="22" customHeight="1">
      <c r="A16" s="15" t="n">
        <v>12</v>
      </c>
      <c r="B16" s="16" t="n"/>
      <c r="C16" s="17" t="n"/>
      <c r="D16" s="18" t="n"/>
      <c r="E16" s="19">
        <f>IF(D16="","",VLOOKUP(D16,Configuração!B5:C6,2,FALSE))</f>
        <v/>
      </c>
      <c r="F16" s="17" t="n"/>
    </row>
    <row r="17" ht="22" customHeight="1">
      <c r="A17" s="10" t="n">
        <v>13</v>
      </c>
      <c r="B17" s="11" t="n"/>
      <c r="C17" s="12" t="n"/>
      <c r="D17" s="13" t="n"/>
      <c r="E17" s="14">
        <f>IF(D17="","",VLOOKUP(D17,Configuração!B5:C6,2,FALSE))</f>
        <v/>
      </c>
      <c r="F17" s="12" t="n"/>
    </row>
    <row r="18" ht="22" customHeight="1">
      <c r="A18" s="15" t="n">
        <v>14</v>
      </c>
      <c r="B18" s="16" t="n"/>
      <c r="C18" s="17" t="n"/>
      <c r="D18" s="18" t="n"/>
      <c r="E18" s="19">
        <f>IF(D18="","",VLOOKUP(D18,Configuração!B5:C6,2,FALSE))</f>
        <v/>
      </c>
      <c r="F18" s="17" t="n"/>
    </row>
    <row r="19" ht="22" customHeight="1">
      <c r="A19" s="10" t="n">
        <v>15</v>
      </c>
      <c r="B19" s="11" t="n"/>
      <c r="C19" s="12" t="n"/>
      <c r="D19" s="13" t="n"/>
      <c r="E19" s="14">
        <f>IF(D19="","",VLOOKUP(D19,Configuração!B5:C6,2,FALSE))</f>
        <v/>
      </c>
      <c r="F19" s="12" t="n"/>
    </row>
    <row r="20" ht="22" customHeight="1">
      <c r="A20" s="15" t="n">
        <v>16</v>
      </c>
      <c r="B20" s="16" t="n"/>
      <c r="C20" s="17" t="n"/>
      <c r="D20" s="18" t="n"/>
      <c r="E20" s="19">
        <f>IF(D20="","",VLOOKUP(D20,Configuração!B5:C6,2,FALSE))</f>
        <v/>
      </c>
      <c r="F20" s="17" t="n"/>
    </row>
    <row r="21" ht="22" customHeight="1">
      <c r="A21" s="10" t="n">
        <v>17</v>
      </c>
      <c r="B21" s="11" t="n"/>
      <c r="C21" s="12" t="n"/>
      <c r="D21" s="13" t="n"/>
      <c r="E21" s="14">
        <f>IF(D21="","",VLOOKUP(D21,Configuração!B5:C6,2,FALSE))</f>
        <v/>
      </c>
      <c r="F21" s="12" t="n"/>
    </row>
    <row r="22" ht="22" customHeight="1">
      <c r="A22" s="15" t="n">
        <v>18</v>
      </c>
      <c r="B22" s="16" t="n"/>
      <c r="C22" s="17" t="n"/>
      <c r="D22" s="18" t="n"/>
      <c r="E22" s="19">
        <f>IF(D22="","",VLOOKUP(D22,Configuração!B5:C6,2,FALSE))</f>
        <v/>
      </c>
      <c r="F22" s="17" t="n"/>
    </row>
    <row r="23" ht="22" customHeight="1">
      <c r="A23" s="10" t="n">
        <v>19</v>
      </c>
      <c r="B23" s="11" t="n"/>
      <c r="C23" s="12" t="n"/>
      <c r="D23" s="13" t="n"/>
      <c r="E23" s="14">
        <f>IF(D23="","",VLOOKUP(D23,Configuração!B5:C6,2,FALSE))</f>
        <v/>
      </c>
      <c r="F23" s="12" t="n"/>
    </row>
    <row r="24" ht="22" customHeight="1">
      <c r="A24" s="15" t="n">
        <v>20</v>
      </c>
      <c r="B24" s="16" t="n"/>
      <c r="C24" s="17" t="n"/>
      <c r="D24" s="18" t="n"/>
      <c r="E24" s="19">
        <f>IF(D24="","",VLOOKUP(D24,Configuração!B5:C6,2,FALSE))</f>
        <v/>
      </c>
      <c r="F24" s="17" t="n"/>
    </row>
    <row r="25" ht="22" customHeight="1">
      <c r="A25" s="10" t="n">
        <v>21</v>
      </c>
      <c r="B25" s="11" t="n"/>
      <c r="C25" s="12" t="n"/>
      <c r="D25" s="13" t="n"/>
      <c r="E25" s="14">
        <f>IF(D25="","",VLOOKUP(D25,Configuração!B5:C6,2,FALSE))</f>
        <v/>
      </c>
      <c r="F25" s="12" t="n"/>
    </row>
    <row r="26" ht="22" customHeight="1">
      <c r="A26" s="15" t="n">
        <v>22</v>
      </c>
      <c r="B26" s="16" t="n"/>
      <c r="C26" s="17" t="n"/>
      <c r="D26" s="18" t="n"/>
      <c r="E26" s="19">
        <f>IF(D26="","",VLOOKUP(D26,Configuração!B5:C6,2,FALSE))</f>
        <v/>
      </c>
      <c r="F26" s="17" t="n"/>
    </row>
    <row r="27" ht="22" customHeight="1">
      <c r="A27" s="10" t="n">
        <v>23</v>
      </c>
      <c r="B27" s="11" t="n"/>
      <c r="C27" s="12" t="n"/>
      <c r="D27" s="13" t="n"/>
      <c r="E27" s="14">
        <f>IF(D27="","",VLOOKUP(D27,Configuração!B5:C6,2,FALSE))</f>
        <v/>
      </c>
      <c r="F27" s="12" t="n"/>
    </row>
    <row r="28" ht="22" customHeight="1">
      <c r="A28" s="15" t="n">
        <v>24</v>
      </c>
      <c r="B28" s="16" t="n"/>
      <c r="C28" s="17" t="n"/>
      <c r="D28" s="18" t="n"/>
      <c r="E28" s="19">
        <f>IF(D28="","",VLOOKUP(D28,Configuração!B5:C6,2,FALSE))</f>
        <v/>
      </c>
      <c r="F28" s="17" t="n"/>
    </row>
    <row r="29" ht="22" customHeight="1">
      <c r="A29" s="10" t="n">
        <v>25</v>
      </c>
      <c r="B29" s="11" t="n"/>
      <c r="C29" s="12" t="n"/>
      <c r="D29" s="13" t="n"/>
      <c r="E29" s="14">
        <f>IF(D29="","",VLOOKUP(D29,Configuração!B5:C6,2,FALSE))</f>
        <v/>
      </c>
      <c r="F29" s="12" t="n"/>
    </row>
    <row r="30" ht="22" customHeight="1">
      <c r="A30" s="15" t="n">
        <v>26</v>
      </c>
      <c r="B30" s="16" t="n"/>
      <c r="C30" s="17" t="n"/>
      <c r="D30" s="18" t="n"/>
      <c r="E30" s="19">
        <f>IF(D30="","",VLOOKUP(D30,Configuração!B5:C6,2,FALSE))</f>
        <v/>
      </c>
      <c r="F30" s="17" t="n"/>
    </row>
    <row r="31" ht="22" customHeight="1">
      <c r="A31" s="10" t="n">
        <v>27</v>
      </c>
      <c r="B31" s="11" t="n"/>
      <c r="C31" s="12" t="n"/>
      <c r="D31" s="13" t="n"/>
      <c r="E31" s="14">
        <f>IF(D31="","",VLOOKUP(D31,Configuração!B5:C6,2,FALSE))</f>
        <v/>
      </c>
      <c r="F31" s="12" t="n"/>
    </row>
    <row r="32" ht="22" customHeight="1">
      <c r="A32" s="15" t="n">
        <v>28</v>
      </c>
      <c r="B32" s="16" t="n"/>
      <c r="C32" s="17" t="n"/>
      <c r="D32" s="18" t="n"/>
      <c r="E32" s="19">
        <f>IF(D32="","",VLOOKUP(D32,Configuração!B5:C6,2,FALSE))</f>
        <v/>
      </c>
      <c r="F32" s="17" t="n"/>
    </row>
    <row r="33" ht="22" customHeight="1">
      <c r="A33" s="10" t="n">
        <v>29</v>
      </c>
      <c r="B33" s="11" t="n"/>
      <c r="C33" s="12" t="n"/>
      <c r="D33" s="13" t="n"/>
      <c r="E33" s="14">
        <f>IF(D33="","",VLOOKUP(D33,Configuração!B5:C6,2,FALSE))</f>
        <v/>
      </c>
      <c r="F33" s="12" t="n"/>
    </row>
    <row r="34" ht="22" customHeight="1">
      <c r="A34" s="15" t="n">
        <v>30</v>
      </c>
      <c r="B34" s="16" t="n"/>
      <c r="C34" s="17" t="n"/>
      <c r="D34" s="18" t="n"/>
      <c r="E34" s="19">
        <f>IF(D34="","",VLOOKUP(D34,Configuração!B5:C6,2,FALSE))</f>
        <v/>
      </c>
      <c r="F34" s="17" t="n"/>
    </row>
    <row r="35" ht="22" customHeight="1">
      <c r="A35" s="10" t="n">
        <v>31</v>
      </c>
      <c r="B35" s="11" t="n"/>
      <c r="C35" s="12" t="n"/>
      <c r="D35" s="13" t="n"/>
      <c r="E35" s="14">
        <f>IF(D35="","",VLOOKUP(D35,Configuração!B5:C6,2,FALSE))</f>
        <v/>
      </c>
      <c r="F35" s="12" t="n"/>
    </row>
    <row r="36" ht="22" customHeight="1">
      <c r="A36" s="15" t="n">
        <v>32</v>
      </c>
      <c r="B36" s="16" t="n"/>
      <c r="C36" s="17" t="n"/>
      <c r="D36" s="18" t="n"/>
      <c r="E36" s="19">
        <f>IF(D36="","",VLOOKUP(D36,Configuração!B5:C6,2,FALSE))</f>
        <v/>
      </c>
      <c r="F36" s="17" t="n"/>
    </row>
    <row r="37" ht="22" customHeight="1">
      <c r="A37" s="10" t="n">
        <v>33</v>
      </c>
      <c r="B37" s="11" t="n"/>
      <c r="C37" s="12" t="n"/>
      <c r="D37" s="13" t="n"/>
      <c r="E37" s="14">
        <f>IF(D37="","",VLOOKUP(D37,Configuração!B5:C6,2,FALSE))</f>
        <v/>
      </c>
      <c r="F37" s="12" t="n"/>
    </row>
    <row r="38" ht="22" customHeight="1">
      <c r="A38" s="15" t="n">
        <v>34</v>
      </c>
      <c r="B38" s="16" t="n"/>
      <c r="C38" s="17" t="n"/>
      <c r="D38" s="18" t="n"/>
      <c r="E38" s="19">
        <f>IF(D38="","",VLOOKUP(D38,Configuração!B5:C6,2,FALSE))</f>
        <v/>
      </c>
      <c r="F38" s="17" t="n"/>
    </row>
    <row r="39" ht="22" customHeight="1">
      <c r="A39" s="10" t="n">
        <v>35</v>
      </c>
      <c r="B39" s="11" t="n"/>
      <c r="C39" s="12" t="n"/>
      <c r="D39" s="13" t="n"/>
      <c r="E39" s="14">
        <f>IF(D39="","",VLOOKUP(D39,Configuração!B5:C6,2,FALSE))</f>
        <v/>
      </c>
      <c r="F39" s="12" t="n"/>
    </row>
    <row r="40" ht="22" customHeight="1">
      <c r="A40" s="15" t="n">
        <v>36</v>
      </c>
      <c r="B40" s="16" t="n"/>
      <c r="C40" s="17" t="n"/>
      <c r="D40" s="18" t="n"/>
      <c r="E40" s="19">
        <f>IF(D40="","",VLOOKUP(D40,Configuração!B5:C6,2,FALSE))</f>
        <v/>
      </c>
      <c r="F40" s="17" t="n"/>
    </row>
    <row r="41" ht="22" customHeight="1">
      <c r="A41" s="10" t="n">
        <v>37</v>
      </c>
      <c r="B41" s="11" t="n"/>
      <c r="C41" s="12" t="n"/>
      <c r="D41" s="13" t="n"/>
      <c r="E41" s="14">
        <f>IF(D41="","",VLOOKUP(D41,Configuração!B5:C6,2,FALSE))</f>
        <v/>
      </c>
      <c r="F41" s="12" t="n"/>
    </row>
    <row r="42" ht="22" customHeight="1">
      <c r="A42" s="15" t="n">
        <v>38</v>
      </c>
      <c r="B42" s="16" t="n"/>
      <c r="C42" s="17" t="n"/>
      <c r="D42" s="18" t="n"/>
      <c r="E42" s="19">
        <f>IF(D42="","",VLOOKUP(D42,Configuração!B5:C6,2,FALSE))</f>
        <v/>
      </c>
      <c r="F42" s="17" t="n"/>
    </row>
    <row r="43" ht="22" customHeight="1">
      <c r="A43" s="10" t="n">
        <v>39</v>
      </c>
      <c r="B43" s="11" t="n"/>
      <c r="C43" s="12" t="n"/>
      <c r="D43" s="13" t="n"/>
      <c r="E43" s="14">
        <f>IF(D43="","",VLOOKUP(D43,Configuração!B5:C6,2,FALSE))</f>
        <v/>
      </c>
      <c r="F43" s="12" t="n"/>
    </row>
    <row r="44" ht="22" customHeight="1">
      <c r="A44" s="15" t="n">
        <v>40</v>
      </c>
      <c r="B44" s="16" t="n"/>
      <c r="C44" s="17" t="n"/>
      <c r="D44" s="18" t="n"/>
      <c r="E44" s="19">
        <f>IF(D44="","",VLOOKUP(D44,Configuração!B5:C6,2,FALSE))</f>
        <v/>
      </c>
      <c r="F44" s="17" t="n"/>
    </row>
    <row r="45" ht="22" customHeight="1">
      <c r="A45" s="10" t="n">
        <v>41</v>
      </c>
      <c r="B45" s="11" t="n"/>
      <c r="C45" s="12" t="n"/>
      <c r="D45" s="13" t="n"/>
      <c r="E45" s="14">
        <f>IF(D45="","",VLOOKUP(D45,Configuração!B5:C6,2,FALSE))</f>
        <v/>
      </c>
      <c r="F45" s="12" t="n"/>
    </row>
    <row r="46" ht="22" customHeight="1">
      <c r="A46" s="15" t="n">
        <v>42</v>
      </c>
      <c r="B46" s="16" t="n"/>
      <c r="C46" s="17" t="n"/>
      <c r="D46" s="18" t="n"/>
      <c r="E46" s="19">
        <f>IF(D46="","",VLOOKUP(D46,Configuração!B5:C6,2,FALSE))</f>
        <v/>
      </c>
      <c r="F46" s="17" t="n"/>
    </row>
    <row r="47" ht="22" customHeight="1">
      <c r="A47" s="10" t="n">
        <v>43</v>
      </c>
      <c r="B47" s="11" t="n"/>
      <c r="C47" s="12" t="n"/>
      <c r="D47" s="13" t="n"/>
      <c r="E47" s="14">
        <f>IF(D47="","",VLOOKUP(D47,Configuração!B5:C6,2,FALSE))</f>
        <v/>
      </c>
      <c r="F47" s="12" t="n"/>
    </row>
    <row r="48" ht="22" customHeight="1">
      <c r="A48" s="15" t="n">
        <v>44</v>
      </c>
      <c r="B48" s="16" t="n"/>
      <c r="C48" s="17" t="n"/>
      <c r="D48" s="18" t="n"/>
      <c r="E48" s="19">
        <f>IF(D48="","",VLOOKUP(D48,Configuração!B5:C6,2,FALSE))</f>
        <v/>
      </c>
      <c r="F48" s="17" t="n"/>
    </row>
    <row r="49" ht="22" customHeight="1">
      <c r="A49" s="10" t="n">
        <v>45</v>
      </c>
      <c r="B49" s="11" t="n"/>
      <c r="C49" s="12" t="n"/>
      <c r="D49" s="13" t="n"/>
      <c r="E49" s="14">
        <f>IF(D49="","",VLOOKUP(D49,Configuração!B5:C6,2,FALSE))</f>
        <v/>
      </c>
      <c r="F49" s="12" t="n"/>
    </row>
    <row r="50" ht="22" customHeight="1">
      <c r="A50" s="15" t="n">
        <v>46</v>
      </c>
      <c r="B50" s="16" t="n"/>
      <c r="C50" s="17" t="n"/>
      <c r="D50" s="18" t="n"/>
      <c r="E50" s="19">
        <f>IF(D50="","",VLOOKUP(D50,Configuração!B5:C6,2,FALSE))</f>
        <v/>
      </c>
      <c r="F50" s="17" t="n"/>
    </row>
    <row r="51" ht="22" customHeight="1">
      <c r="A51" s="10" t="n">
        <v>47</v>
      </c>
      <c r="B51" s="11" t="n"/>
      <c r="C51" s="12" t="n"/>
      <c r="D51" s="13" t="n"/>
      <c r="E51" s="14">
        <f>IF(D51="","",VLOOKUP(D51,Configuração!B5:C6,2,FALSE))</f>
        <v/>
      </c>
      <c r="F51" s="12" t="n"/>
    </row>
    <row r="52" ht="22" customHeight="1">
      <c r="A52" s="15" t="n">
        <v>48</v>
      </c>
      <c r="B52" s="16" t="n"/>
      <c r="C52" s="17" t="n"/>
      <c r="D52" s="18" t="n"/>
      <c r="E52" s="19">
        <f>IF(D52="","",VLOOKUP(D52,Configuração!B5:C6,2,FALSE))</f>
        <v/>
      </c>
      <c r="F52" s="17" t="n"/>
    </row>
    <row r="53" ht="22" customHeight="1">
      <c r="A53" s="10" t="n">
        <v>49</v>
      </c>
      <c r="B53" s="11" t="n"/>
      <c r="C53" s="12" t="n"/>
      <c r="D53" s="13" t="n"/>
      <c r="E53" s="14">
        <f>IF(D53="","",VLOOKUP(D53,Configuração!B5:C6,2,FALSE))</f>
        <v/>
      </c>
      <c r="F53" s="12" t="n"/>
    </row>
    <row r="54" ht="22" customHeight="1">
      <c r="A54" s="15" t="n">
        <v>50</v>
      </c>
      <c r="B54" s="16" t="n"/>
      <c r="C54" s="17" t="n"/>
      <c r="D54" s="18" t="n"/>
      <c r="E54" s="19">
        <f>IF(D54="","",VLOOKUP(D54,Configuração!B5:C6,2,FALSE))</f>
        <v/>
      </c>
      <c r="F54" s="17" t="n"/>
    </row>
    <row r="55" ht="22" customHeight="1">
      <c r="A55" s="10" t="n">
        <v>51</v>
      </c>
      <c r="B55" s="11" t="n"/>
      <c r="C55" s="12" t="n"/>
      <c r="D55" s="13" t="n"/>
      <c r="E55" s="14">
        <f>IF(D55="","",VLOOKUP(D55,Configuração!B5:C6,2,FALSE))</f>
        <v/>
      </c>
      <c r="F55" s="12" t="n"/>
    </row>
    <row r="56" ht="22" customHeight="1">
      <c r="A56" s="15" t="n">
        <v>52</v>
      </c>
      <c r="B56" s="16" t="n"/>
      <c r="C56" s="17" t="n"/>
      <c r="D56" s="18" t="n"/>
      <c r="E56" s="19">
        <f>IF(D56="","",VLOOKUP(D56,Configuração!B5:C6,2,FALSE))</f>
        <v/>
      </c>
      <c r="F56" s="17" t="n"/>
    </row>
    <row r="57" ht="22" customHeight="1">
      <c r="A57" s="10" t="n">
        <v>53</v>
      </c>
      <c r="B57" s="11" t="n"/>
      <c r="C57" s="12" t="n"/>
      <c r="D57" s="13" t="n"/>
      <c r="E57" s="14">
        <f>IF(D57="","",VLOOKUP(D57,Configuração!B5:C6,2,FALSE))</f>
        <v/>
      </c>
      <c r="F57" s="12" t="n"/>
    </row>
    <row r="58" ht="22" customHeight="1">
      <c r="A58" s="15" t="n">
        <v>54</v>
      </c>
      <c r="B58" s="16" t="n"/>
      <c r="C58" s="17" t="n"/>
      <c r="D58" s="18" t="n"/>
      <c r="E58" s="19">
        <f>IF(D58="","",VLOOKUP(D58,Configuração!B5:C6,2,FALSE))</f>
        <v/>
      </c>
      <c r="F58" s="17" t="n"/>
    </row>
    <row r="59" ht="22" customHeight="1">
      <c r="A59" s="10" t="n">
        <v>55</v>
      </c>
      <c r="B59" s="11" t="n"/>
      <c r="C59" s="12" t="n"/>
      <c r="D59" s="13" t="n"/>
      <c r="E59" s="14">
        <f>IF(D59="","",VLOOKUP(D59,Configuração!B5:C6,2,FALSE))</f>
        <v/>
      </c>
      <c r="F59" s="12" t="n"/>
    </row>
    <row r="60" ht="22" customHeight="1">
      <c r="A60" s="15" t="n">
        <v>56</v>
      </c>
      <c r="B60" s="16" t="n"/>
      <c r="C60" s="17" t="n"/>
      <c r="D60" s="18" t="n"/>
      <c r="E60" s="19">
        <f>IF(D60="","",VLOOKUP(D60,Configuração!B5:C6,2,FALSE))</f>
        <v/>
      </c>
      <c r="F60" s="17" t="n"/>
    </row>
    <row r="61" ht="22" customHeight="1">
      <c r="A61" s="10" t="n">
        <v>57</v>
      </c>
      <c r="B61" s="11" t="n"/>
      <c r="C61" s="12" t="n"/>
      <c r="D61" s="13" t="n"/>
      <c r="E61" s="14">
        <f>IF(D61="","",VLOOKUP(D61,Configuração!B5:C6,2,FALSE))</f>
        <v/>
      </c>
      <c r="F61" s="12" t="n"/>
    </row>
    <row r="62" ht="22" customHeight="1">
      <c r="A62" s="15" t="n">
        <v>58</v>
      </c>
      <c r="B62" s="16" t="n"/>
      <c r="C62" s="17" t="n"/>
      <c r="D62" s="18" t="n"/>
      <c r="E62" s="19">
        <f>IF(D62="","",VLOOKUP(D62,Configuração!B5:C6,2,FALSE))</f>
        <v/>
      </c>
      <c r="F62" s="17" t="n"/>
    </row>
    <row r="63" ht="22" customHeight="1">
      <c r="A63" s="10" t="n">
        <v>59</v>
      </c>
      <c r="B63" s="11" t="n"/>
      <c r="C63" s="12" t="n"/>
      <c r="D63" s="13" t="n"/>
      <c r="E63" s="14">
        <f>IF(D63="","",VLOOKUP(D63,Configuração!B5:C6,2,FALSE))</f>
        <v/>
      </c>
      <c r="F63" s="12" t="n"/>
    </row>
    <row r="64" ht="22" customHeight="1">
      <c r="A64" s="15" t="n">
        <v>60</v>
      </c>
      <c r="B64" s="16" t="n"/>
      <c r="C64" s="17" t="n"/>
      <c r="D64" s="18" t="n"/>
      <c r="E64" s="19">
        <f>IF(D64="","",VLOOKUP(D64,Configuração!B5:C6,2,FALSE))</f>
        <v/>
      </c>
      <c r="F64" s="17" t="n"/>
    </row>
    <row r="65" ht="22" customHeight="1">
      <c r="A65" s="10" t="n">
        <v>61</v>
      </c>
      <c r="B65" s="11" t="n"/>
      <c r="C65" s="12" t="n"/>
      <c r="D65" s="13" t="n"/>
      <c r="E65" s="14">
        <f>IF(D65="","",VLOOKUP(D65,Configuração!B5:C6,2,FALSE))</f>
        <v/>
      </c>
      <c r="F65" s="12" t="n"/>
    </row>
    <row r="66" ht="22" customHeight="1">
      <c r="A66" s="15" t="n">
        <v>62</v>
      </c>
      <c r="B66" s="16" t="n"/>
      <c r="C66" s="17" t="n"/>
      <c r="D66" s="18" t="n"/>
      <c r="E66" s="19">
        <f>IF(D66="","",VLOOKUP(D66,Configuração!B5:C6,2,FALSE))</f>
        <v/>
      </c>
      <c r="F66" s="17" t="n"/>
    </row>
    <row r="67" ht="22" customHeight="1">
      <c r="A67" s="10" t="n">
        <v>63</v>
      </c>
      <c r="B67" s="11" t="n"/>
      <c r="C67" s="12" t="n"/>
      <c r="D67" s="13" t="n"/>
      <c r="E67" s="14">
        <f>IF(D67="","",VLOOKUP(D67,Configuração!B5:C6,2,FALSE))</f>
        <v/>
      </c>
      <c r="F67" s="12" t="n"/>
    </row>
    <row r="68" ht="22" customHeight="1">
      <c r="A68" s="15" t="n">
        <v>64</v>
      </c>
      <c r="B68" s="16" t="n"/>
      <c r="C68" s="17" t="n"/>
      <c r="D68" s="18" t="n"/>
      <c r="E68" s="19">
        <f>IF(D68="","",VLOOKUP(D68,Configuração!B5:C6,2,FALSE))</f>
        <v/>
      </c>
      <c r="F68" s="17" t="n"/>
    </row>
    <row r="69" ht="22" customHeight="1">
      <c r="A69" s="10" t="n">
        <v>65</v>
      </c>
      <c r="B69" s="11" t="n"/>
      <c r="C69" s="12" t="n"/>
      <c r="D69" s="13" t="n"/>
      <c r="E69" s="14">
        <f>IF(D69="","",VLOOKUP(D69,Configuração!B5:C6,2,FALSE))</f>
        <v/>
      </c>
      <c r="F69" s="12" t="n"/>
    </row>
    <row r="70" ht="22" customHeight="1">
      <c r="A70" s="15" t="n">
        <v>66</v>
      </c>
      <c r="B70" s="16" t="n"/>
      <c r="C70" s="17" t="n"/>
      <c r="D70" s="18" t="n"/>
      <c r="E70" s="19">
        <f>IF(D70="","",VLOOKUP(D70,Configuração!B5:C6,2,FALSE))</f>
        <v/>
      </c>
      <c r="F70" s="17" t="n"/>
    </row>
    <row r="71" ht="22" customHeight="1">
      <c r="A71" s="10" t="n">
        <v>67</v>
      </c>
      <c r="B71" s="11" t="n"/>
      <c r="C71" s="12" t="n"/>
      <c r="D71" s="13" t="n"/>
      <c r="E71" s="14">
        <f>IF(D71="","",VLOOKUP(D71,Configuração!B5:C6,2,FALSE))</f>
        <v/>
      </c>
      <c r="F71" s="12" t="n"/>
    </row>
    <row r="72" ht="22" customHeight="1">
      <c r="A72" s="15" t="n">
        <v>68</v>
      </c>
      <c r="B72" s="16" t="n"/>
      <c r="C72" s="17" t="n"/>
      <c r="D72" s="18" t="n"/>
      <c r="E72" s="19">
        <f>IF(D72="","",VLOOKUP(D72,Configuração!B5:C6,2,FALSE))</f>
        <v/>
      </c>
      <c r="F72" s="17" t="n"/>
    </row>
    <row r="73" ht="22" customHeight="1">
      <c r="A73" s="10" t="n">
        <v>69</v>
      </c>
      <c r="B73" s="11" t="n"/>
      <c r="C73" s="12" t="n"/>
      <c r="D73" s="13" t="n"/>
      <c r="E73" s="14">
        <f>IF(D73="","",VLOOKUP(D73,Configuração!B5:C6,2,FALSE))</f>
        <v/>
      </c>
      <c r="F73" s="12" t="n"/>
    </row>
    <row r="74" ht="22" customHeight="1">
      <c r="A74" s="15" t="n">
        <v>70</v>
      </c>
      <c r="B74" s="16" t="n"/>
      <c r="C74" s="17" t="n"/>
      <c r="D74" s="18" t="n"/>
      <c r="E74" s="19">
        <f>IF(D74="","",VLOOKUP(D74,Configuração!B5:C6,2,FALSE))</f>
        <v/>
      </c>
      <c r="F74" s="17" t="n"/>
    </row>
    <row r="75" ht="22" customHeight="1">
      <c r="A75" s="10" t="n">
        <v>71</v>
      </c>
      <c r="B75" s="11" t="n"/>
      <c r="C75" s="12" t="n"/>
      <c r="D75" s="13" t="n"/>
      <c r="E75" s="14">
        <f>IF(D75="","",VLOOKUP(D75,Configuração!B5:C6,2,FALSE))</f>
        <v/>
      </c>
      <c r="F75" s="12" t="n"/>
    </row>
    <row r="76" ht="22" customHeight="1">
      <c r="A76" s="15" t="n">
        <v>72</v>
      </c>
      <c r="B76" s="16" t="n"/>
      <c r="C76" s="17" t="n"/>
      <c r="D76" s="18" t="n"/>
      <c r="E76" s="19">
        <f>IF(D76="","",VLOOKUP(D76,Configuração!B5:C6,2,FALSE))</f>
        <v/>
      </c>
      <c r="F76" s="17" t="n"/>
    </row>
    <row r="77" ht="22" customHeight="1">
      <c r="A77" s="10" t="n">
        <v>73</v>
      </c>
      <c r="B77" s="11" t="n"/>
      <c r="C77" s="12" t="n"/>
      <c r="D77" s="13" t="n"/>
      <c r="E77" s="14">
        <f>IF(D77="","",VLOOKUP(D77,Configuração!B5:C6,2,FALSE))</f>
        <v/>
      </c>
      <c r="F77" s="12" t="n"/>
    </row>
    <row r="78" ht="22" customHeight="1">
      <c r="A78" s="15" t="n">
        <v>74</v>
      </c>
      <c r="B78" s="16" t="n"/>
      <c r="C78" s="17" t="n"/>
      <c r="D78" s="18" t="n"/>
      <c r="E78" s="19">
        <f>IF(D78="","",VLOOKUP(D78,Configuração!B5:C6,2,FALSE))</f>
        <v/>
      </c>
      <c r="F78" s="17" t="n"/>
    </row>
    <row r="79" ht="22" customHeight="1">
      <c r="A79" s="10" t="n">
        <v>75</v>
      </c>
      <c r="B79" s="11" t="n"/>
      <c r="C79" s="12" t="n"/>
      <c r="D79" s="13" t="n"/>
      <c r="E79" s="14">
        <f>IF(D79="","",VLOOKUP(D79,Configuração!B5:C6,2,FALSE))</f>
        <v/>
      </c>
      <c r="F79" s="12" t="n"/>
    </row>
    <row r="80" ht="22" customHeight="1">
      <c r="A80" s="15" t="n">
        <v>76</v>
      </c>
      <c r="B80" s="16" t="n"/>
      <c r="C80" s="17" t="n"/>
      <c r="D80" s="18" t="n"/>
      <c r="E80" s="19">
        <f>IF(D80="","",VLOOKUP(D80,Configuração!B5:C6,2,FALSE))</f>
        <v/>
      </c>
      <c r="F80" s="17" t="n"/>
    </row>
    <row r="81" ht="22" customHeight="1">
      <c r="A81" s="10" t="n">
        <v>77</v>
      </c>
      <c r="B81" s="11" t="n"/>
      <c r="C81" s="12" t="n"/>
      <c r="D81" s="13" t="n"/>
      <c r="E81" s="14">
        <f>IF(D81="","",VLOOKUP(D81,Configuração!B5:C6,2,FALSE))</f>
        <v/>
      </c>
      <c r="F81" s="12" t="n"/>
    </row>
    <row r="82" ht="22" customHeight="1">
      <c r="A82" s="15" t="n">
        <v>78</v>
      </c>
      <c r="B82" s="16" t="n"/>
      <c r="C82" s="17" t="n"/>
      <c r="D82" s="18" t="n"/>
      <c r="E82" s="19">
        <f>IF(D82="","",VLOOKUP(D82,Configuração!B5:C6,2,FALSE))</f>
        <v/>
      </c>
      <c r="F82" s="17" t="n"/>
    </row>
    <row r="83" ht="22" customHeight="1">
      <c r="A83" s="10" t="n">
        <v>79</v>
      </c>
      <c r="B83" s="11" t="n"/>
      <c r="C83" s="12" t="n"/>
      <c r="D83" s="13" t="n"/>
      <c r="E83" s="14">
        <f>IF(D83="","",VLOOKUP(D83,Configuração!B5:C6,2,FALSE))</f>
        <v/>
      </c>
      <c r="F83" s="12" t="n"/>
    </row>
    <row r="84" ht="22" customHeight="1">
      <c r="A84" s="15" t="n">
        <v>80</v>
      </c>
      <c r="B84" s="16" t="n"/>
      <c r="C84" s="17" t="n"/>
      <c r="D84" s="18" t="n"/>
      <c r="E84" s="19">
        <f>IF(D84="","",VLOOKUP(D84,Configuração!B5:C6,2,FALSE))</f>
        <v/>
      </c>
      <c r="F84" s="17" t="n"/>
    </row>
    <row r="85" ht="22" customHeight="1">
      <c r="A85" s="10" t="n">
        <v>81</v>
      </c>
      <c r="B85" s="11" t="n"/>
      <c r="C85" s="12" t="n"/>
      <c r="D85" s="13" t="n"/>
      <c r="E85" s="14">
        <f>IF(D85="","",VLOOKUP(D85,Configuração!B5:C6,2,FALSE))</f>
        <v/>
      </c>
      <c r="F85" s="12" t="n"/>
    </row>
    <row r="86" ht="22" customHeight="1">
      <c r="A86" s="15" t="n">
        <v>82</v>
      </c>
      <c r="B86" s="16" t="n"/>
      <c r="C86" s="17" t="n"/>
      <c r="D86" s="18" t="n"/>
      <c r="E86" s="19">
        <f>IF(D86="","",VLOOKUP(D86,Configuração!B5:C6,2,FALSE))</f>
        <v/>
      </c>
      <c r="F86" s="17" t="n"/>
    </row>
    <row r="87" ht="22" customHeight="1">
      <c r="A87" s="10" t="n">
        <v>83</v>
      </c>
      <c r="B87" s="11" t="n"/>
      <c r="C87" s="12" t="n"/>
      <c r="D87" s="13" t="n"/>
      <c r="E87" s="14">
        <f>IF(D87="","",VLOOKUP(D87,Configuração!B5:C6,2,FALSE))</f>
        <v/>
      </c>
      <c r="F87" s="12" t="n"/>
    </row>
    <row r="88" ht="22" customHeight="1">
      <c r="A88" s="15" t="n">
        <v>84</v>
      </c>
      <c r="B88" s="16" t="n"/>
      <c r="C88" s="17" t="n"/>
      <c r="D88" s="18" t="n"/>
      <c r="E88" s="19">
        <f>IF(D88="","",VLOOKUP(D88,Configuração!B5:C6,2,FALSE))</f>
        <v/>
      </c>
      <c r="F88" s="17" t="n"/>
    </row>
    <row r="89" ht="22" customHeight="1">
      <c r="A89" s="10" t="n">
        <v>85</v>
      </c>
      <c r="B89" s="11" t="n"/>
      <c r="C89" s="12" t="n"/>
      <c r="D89" s="13" t="n"/>
      <c r="E89" s="14">
        <f>IF(D89="","",VLOOKUP(D89,Configuração!B5:C6,2,FALSE))</f>
        <v/>
      </c>
      <c r="F89" s="12" t="n"/>
    </row>
    <row r="90" ht="22" customHeight="1">
      <c r="A90" s="15" t="n">
        <v>86</v>
      </c>
      <c r="B90" s="16" t="n"/>
      <c r="C90" s="17" t="n"/>
      <c r="D90" s="18" t="n"/>
      <c r="E90" s="19">
        <f>IF(D90="","",VLOOKUP(D90,Configuração!B5:C6,2,FALSE))</f>
        <v/>
      </c>
      <c r="F90" s="17" t="n"/>
    </row>
    <row r="91" ht="22" customHeight="1">
      <c r="A91" s="10" t="n">
        <v>87</v>
      </c>
      <c r="B91" s="11" t="n"/>
      <c r="C91" s="12" t="n"/>
      <c r="D91" s="13" t="n"/>
      <c r="E91" s="14">
        <f>IF(D91="","",VLOOKUP(D91,Configuração!B5:C6,2,FALSE))</f>
        <v/>
      </c>
      <c r="F91" s="12" t="n"/>
    </row>
    <row r="92" ht="22" customHeight="1">
      <c r="A92" s="15" t="n">
        <v>88</v>
      </c>
      <c r="B92" s="16" t="n"/>
      <c r="C92" s="17" t="n"/>
      <c r="D92" s="18" t="n"/>
      <c r="E92" s="19">
        <f>IF(D92="","",VLOOKUP(D92,Configuração!B5:C6,2,FALSE))</f>
        <v/>
      </c>
      <c r="F92" s="17" t="n"/>
    </row>
    <row r="93" ht="22" customHeight="1">
      <c r="A93" s="10" t="n">
        <v>89</v>
      </c>
      <c r="B93" s="11" t="n"/>
      <c r="C93" s="12" t="n"/>
      <c r="D93" s="13" t="n"/>
      <c r="E93" s="14">
        <f>IF(D93="","",VLOOKUP(D93,Configuração!B5:C6,2,FALSE))</f>
        <v/>
      </c>
      <c r="F93" s="12" t="n"/>
    </row>
    <row r="94" ht="22" customHeight="1">
      <c r="A94" s="15" t="n">
        <v>90</v>
      </c>
      <c r="B94" s="16" t="n"/>
      <c r="C94" s="17" t="n"/>
      <c r="D94" s="18" t="n"/>
      <c r="E94" s="19">
        <f>IF(D94="","",VLOOKUP(D94,Configuração!B5:C6,2,FALSE))</f>
        <v/>
      </c>
      <c r="F94" s="17" t="n"/>
    </row>
    <row r="95" ht="22" customHeight="1">
      <c r="A95" s="10" t="n">
        <v>91</v>
      </c>
      <c r="B95" s="11" t="n"/>
      <c r="C95" s="12" t="n"/>
      <c r="D95" s="13" t="n"/>
      <c r="E95" s="14">
        <f>IF(D95="","",VLOOKUP(D95,Configuração!B5:C6,2,FALSE))</f>
        <v/>
      </c>
      <c r="F95" s="12" t="n"/>
    </row>
    <row r="96" ht="22" customHeight="1">
      <c r="A96" s="15" t="n">
        <v>92</v>
      </c>
      <c r="B96" s="16" t="n"/>
      <c r="C96" s="17" t="n"/>
      <c r="D96" s="18" t="n"/>
      <c r="E96" s="19">
        <f>IF(D96="","",VLOOKUP(D96,Configuração!B5:C6,2,FALSE))</f>
        <v/>
      </c>
      <c r="F96" s="17" t="n"/>
    </row>
    <row r="97" ht="22" customHeight="1">
      <c r="A97" s="10" t="n">
        <v>93</v>
      </c>
      <c r="B97" s="11" t="n"/>
      <c r="C97" s="12" t="n"/>
      <c r="D97" s="13" t="n"/>
      <c r="E97" s="14">
        <f>IF(D97="","",VLOOKUP(D97,Configuração!B5:C6,2,FALSE))</f>
        <v/>
      </c>
      <c r="F97" s="12" t="n"/>
    </row>
    <row r="98" ht="22" customHeight="1">
      <c r="A98" s="15" t="n">
        <v>94</v>
      </c>
      <c r="B98" s="16" t="n"/>
      <c r="C98" s="17" t="n"/>
      <c r="D98" s="18" t="n"/>
      <c r="E98" s="19">
        <f>IF(D98="","",VLOOKUP(D98,Configuração!B5:C6,2,FALSE))</f>
        <v/>
      </c>
      <c r="F98" s="17" t="n"/>
    </row>
    <row r="99" ht="22" customHeight="1">
      <c r="A99" s="10" t="n">
        <v>95</v>
      </c>
      <c r="B99" s="11" t="n"/>
      <c r="C99" s="12" t="n"/>
      <c r="D99" s="13" t="n"/>
      <c r="E99" s="14">
        <f>IF(D99="","",VLOOKUP(D99,Configuração!B5:C6,2,FALSE))</f>
        <v/>
      </c>
      <c r="F99" s="12" t="n"/>
    </row>
    <row r="100" ht="22" customHeight="1">
      <c r="A100" s="15" t="n">
        <v>96</v>
      </c>
      <c r="B100" s="16" t="n"/>
      <c r="C100" s="17" t="n"/>
      <c r="D100" s="18" t="n"/>
      <c r="E100" s="19">
        <f>IF(D100="","",VLOOKUP(D100,Configuração!B5:C6,2,FALSE))</f>
        <v/>
      </c>
      <c r="F100" s="17" t="n"/>
    </row>
    <row r="101" ht="22" customHeight="1">
      <c r="A101" s="10" t="n">
        <v>97</v>
      </c>
      <c r="B101" s="11" t="n"/>
      <c r="C101" s="12" t="n"/>
      <c r="D101" s="13" t="n"/>
      <c r="E101" s="14">
        <f>IF(D101="","",VLOOKUP(D101,Configuração!B5:C6,2,FALSE))</f>
        <v/>
      </c>
      <c r="F101" s="12" t="n"/>
    </row>
    <row r="102" ht="22" customHeight="1">
      <c r="A102" s="15" t="n">
        <v>98</v>
      </c>
      <c r="B102" s="16" t="n"/>
      <c r="C102" s="17" t="n"/>
      <c r="D102" s="18" t="n"/>
      <c r="E102" s="19">
        <f>IF(D102="","",VLOOKUP(D102,Configuração!B5:C6,2,FALSE))</f>
        <v/>
      </c>
      <c r="F102" s="17" t="n"/>
    </row>
    <row r="103" ht="22" customHeight="1">
      <c r="A103" s="10" t="n">
        <v>99</v>
      </c>
      <c r="B103" s="11" t="n"/>
      <c r="C103" s="12" t="n"/>
      <c r="D103" s="13" t="n"/>
      <c r="E103" s="14">
        <f>IF(D103="","",VLOOKUP(D103,Configuração!B5:C6,2,FALSE))</f>
        <v/>
      </c>
      <c r="F103" s="12" t="n"/>
    </row>
    <row r="104" ht="22" customHeight="1">
      <c r="A104" s="15" t="n">
        <v>100</v>
      </c>
      <c r="B104" s="16" t="n"/>
      <c r="C104" s="17" t="n"/>
      <c r="D104" s="18" t="n"/>
      <c r="E104" s="19">
        <f>IF(D104="","",VLOOKUP(D104,Configuração!B5:C6,2,FALSE))</f>
        <v/>
      </c>
      <c r="F104" s="17" t="n"/>
    </row>
    <row r="105" ht="22" customHeight="1">
      <c r="A105" s="10" t="n">
        <v>101</v>
      </c>
      <c r="B105" s="11" t="n"/>
      <c r="C105" s="12" t="n"/>
      <c r="D105" s="13" t="n"/>
      <c r="E105" s="14">
        <f>IF(D105="","",VLOOKUP(D105,Configuração!B5:C6,2,FALSE))</f>
        <v/>
      </c>
      <c r="F105" s="12" t="n"/>
    </row>
    <row r="106" ht="22" customHeight="1">
      <c r="A106" s="15" t="n">
        <v>102</v>
      </c>
      <c r="B106" s="16" t="n"/>
      <c r="C106" s="17" t="n"/>
      <c r="D106" s="18" t="n"/>
      <c r="E106" s="19">
        <f>IF(D106="","",VLOOKUP(D106,Configuração!B5:C6,2,FALSE))</f>
        <v/>
      </c>
      <c r="F106" s="17" t="n"/>
    </row>
    <row r="107" ht="22" customHeight="1">
      <c r="A107" s="10" t="n">
        <v>103</v>
      </c>
      <c r="B107" s="11" t="n"/>
      <c r="C107" s="12" t="n"/>
      <c r="D107" s="13" t="n"/>
      <c r="E107" s="14">
        <f>IF(D107="","",VLOOKUP(D107,Configuração!B5:C6,2,FALSE))</f>
        <v/>
      </c>
      <c r="F107" s="12" t="n"/>
    </row>
    <row r="108" ht="22" customHeight="1">
      <c r="A108" s="15" t="n">
        <v>104</v>
      </c>
      <c r="B108" s="16" t="n"/>
      <c r="C108" s="17" t="n"/>
      <c r="D108" s="18" t="n"/>
      <c r="E108" s="19">
        <f>IF(D108="","",VLOOKUP(D108,Configuração!B5:C6,2,FALSE))</f>
        <v/>
      </c>
      <c r="F108" s="17" t="n"/>
    </row>
    <row r="109" ht="22" customHeight="1">
      <c r="A109" s="10" t="n">
        <v>105</v>
      </c>
      <c r="B109" s="11" t="n"/>
      <c r="C109" s="12" t="n"/>
      <c r="D109" s="13" t="n"/>
      <c r="E109" s="14">
        <f>IF(D109="","",VLOOKUP(D109,Configuração!B5:C6,2,FALSE))</f>
        <v/>
      </c>
      <c r="F109" s="12" t="n"/>
    </row>
    <row r="110" ht="22" customHeight="1">
      <c r="A110" s="15" t="n">
        <v>106</v>
      </c>
      <c r="B110" s="16" t="n"/>
      <c r="C110" s="17" t="n"/>
      <c r="D110" s="18" t="n"/>
      <c r="E110" s="19">
        <f>IF(D110="","",VLOOKUP(D110,Configuração!B5:C6,2,FALSE))</f>
        <v/>
      </c>
      <c r="F110" s="17" t="n"/>
    </row>
    <row r="111" ht="22" customHeight="1">
      <c r="A111" s="10" t="n">
        <v>107</v>
      </c>
      <c r="B111" s="11" t="n"/>
      <c r="C111" s="12" t="n"/>
      <c r="D111" s="13" t="n"/>
      <c r="E111" s="14">
        <f>IF(D111="","",VLOOKUP(D111,Configuração!B5:C6,2,FALSE))</f>
        <v/>
      </c>
      <c r="F111" s="12" t="n"/>
    </row>
    <row r="112" ht="22" customHeight="1">
      <c r="A112" s="15" t="n">
        <v>108</v>
      </c>
      <c r="B112" s="16" t="n"/>
      <c r="C112" s="17" t="n"/>
      <c r="D112" s="18" t="n"/>
      <c r="E112" s="19">
        <f>IF(D112="","",VLOOKUP(D112,Configuração!B5:C6,2,FALSE))</f>
        <v/>
      </c>
      <c r="F112" s="17" t="n"/>
    </row>
    <row r="113" ht="22" customHeight="1">
      <c r="A113" s="10" t="n">
        <v>109</v>
      </c>
      <c r="B113" s="11" t="n"/>
      <c r="C113" s="12" t="n"/>
      <c r="D113" s="13" t="n"/>
      <c r="E113" s="14">
        <f>IF(D113="","",VLOOKUP(D113,Configuração!B5:C6,2,FALSE))</f>
        <v/>
      </c>
      <c r="F113" s="12" t="n"/>
    </row>
    <row r="114" ht="22" customHeight="1">
      <c r="A114" s="15" t="n">
        <v>110</v>
      </c>
      <c r="B114" s="16" t="n"/>
      <c r="C114" s="17" t="n"/>
      <c r="D114" s="18" t="n"/>
      <c r="E114" s="19">
        <f>IF(D114="","",VLOOKUP(D114,Configuração!B5:C6,2,FALSE))</f>
        <v/>
      </c>
      <c r="F114" s="17" t="n"/>
    </row>
    <row r="115" ht="22" customHeight="1">
      <c r="A115" s="10" t="n">
        <v>111</v>
      </c>
      <c r="B115" s="11" t="n"/>
      <c r="C115" s="12" t="n"/>
      <c r="D115" s="13" t="n"/>
      <c r="E115" s="14">
        <f>IF(D115="","",VLOOKUP(D115,Configuração!B5:C6,2,FALSE))</f>
        <v/>
      </c>
      <c r="F115" s="12" t="n"/>
    </row>
    <row r="116" ht="22" customHeight="1">
      <c r="A116" s="15" t="n">
        <v>112</v>
      </c>
      <c r="B116" s="16" t="n"/>
      <c r="C116" s="17" t="n"/>
      <c r="D116" s="18" t="n"/>
      <c r="E116" s="19">
        <f>IF(D116="","",VLOOKUP(D116,Configuração!B5:C6,2,FALSE))</f>
        <v/>
      </c>
      <c r="F116" s="17" t="n"/>
    </row>
    <row r="117" ht="22" customHeight="1">
      <c r="A117" s="10" t="n">
        <v>113</v>
      </c>
      <c r="B117" s="11" t="n"/>
      <c r="C117" s="12" t="n"/>
      <c r="D117" s="13" t="n"/>
      <c r="E117" s="14">
        <f>IF(D117="","",VLOOKUP(D117,Configuração!B5:C6,2,FALSE))</f>
        <v/>
      </c>
      <c r="F117" s="12" t="n"/>
    </row>
    <row r="118" ht="22" customHeight="1">
      <c r="A118" s="15" t="n">
        <v>114</v>
      </c>
      <c r="B118" s="16" t="n"/>
      <c r="C118" s="17" t="n"/>
      <c r="D118" s="18" t="n"/>
      <c r="E118" s="19">
        <f>IF(D118="","",VLOOKUP(D118,Configuração!B5:C6,2,FALSE))</f>
        <v/>
      </c>
      <c r="F118" s="17" t="n"/>
    </row>
    <row r="119" ht="22" customHeight="1">
      <c r="A119" s="10" t="n">
        <v>115</v>
      </c>
      <c r="B119" s="11" t="n"/>
      <c r="C119" s="12" t="n"/>
      <c r="D119" s="13" t="n"/>
      <c r="E119" s="14">
        <f>IF(D119="","",VLOOKUP(D119,Configuração!B5:C6,2,FALSE))</f>
        <v/>
      </c>
      <c r="F119" s="12" t="n"/>
    </row>
    <row r="120" ht="22" customHeight="1">
      <c r="A120" s="15" t="n">
        <v>116</v>
      </c>
      <c r="B120" s="16" t="n"/>
      <c r="C120" s="17" t="n"/>
      <c r="D120" s="18" t="n"/>
      <c r="E120" s="19">
        <f>IF(D120="","",VLOOKUP(D120,Configuração!B5:C6,2,FALSE))</f>
        <v/>
      </c>
      <c r="F120" s="17" t="n"/>
    </row>
    <row r="121" ht="22" customHeight="1">
      <c r="A121" s="10" t="n">
        <v>117</v>
      </c>
      <c r="B121" s="11" t="n"/>
      <c r="C121" s="12" t="n"/>
      <c r="D121" s="13" t="n"/>
      <c r="E121" s="14">
        <f>IF(D121="","",VLOOKUP(D121,Configuração!B5:C6,2,FALSE))</f>
        <v/>
      </c>
      <c r="F121" s="12" t="n"/>
    </row>
    <row r="122" ht="22" customHeight="1">
      <c r="A122" s="15" t="n">
        <v>118</v>
      </c>
      <c r="B122" s="16" t="n"/>
      <c r="C122" s="17" t="n"/>
      <c r="D122" s="18" t="n"/>
      <c r="E122" s="19">
        <f>IF(D122="","",VLOOKUP(D122,Configuração!B5:C6,2,FALSE))</f>
        <v/>
      </c>
      <c r="F122" s="17" t="n"/>
    </row>
    <row r="123" ht="22" customHeight="1">
      <c r="A123" s="10" t="n">
        <v>119</v>
      </c>
      <c r="B123" s="11" t="n"/>
      <c r="C123" s="12" t="n"/>
      <c r="D123" s="13" t="n"/>
      <c r="E123" s="14">
        <f>IF(D123="","",VLOOKUP(D123,Configuração!B5:C6,2,FALSE))</f>
        <v/>
      </c>
      <c r="F123" s="12" t="n"/>
    </row>
    <row r="124" ht="22" customHeight="1">
      <c r="A124" s="15" t="n">
        <v>120</v>
      </c>
      <c r="B124" s="16" t="n"/>
      <c r="C124" s="17" t="n"/>
      <c r="D124" s="18" t="n"/>
      <c r="E124" s="19">
        <f>IF(D124="","",VLOOKUP(D124,Configuração!B5:C6,2,FALSE))</f>
        <v/>
      </c>
      <c r="F124" s="17" t="n"/>
    </row>
    <row r="125" ht="22" customHeight="1">
      <c r="A125" s="10" t="n">
        <v>121</v>
      </c>
      <c r="B125" s="11" t="n"/>
      <c r="C125" s="12" t="n"/>
      <c r="D125" s="13" t="n"/>
      <c r="E125" s="14">
        <f>IF(D125="","",VLOOKUP(D125,Configuração!B5:C6,2,FALSE))</f>
        <v/>
      </c>
      <c r="F125" s="12" t="n"/>
    </row>
    <row r="126" ht="22" customHeight="1">
      <c r="A126" s="15" t="n">
        <v>122</v>
      </c>
      <c r="B126" s="16" t="n"/>
      <c r="C126" s="17" t="n"/>
      <c r="D126" s="18" t="n"/>
      <c r="E126" s="19">
        <f>IF(D126="","",VLOOKUP(D126,Configuração!B5:C6,2,FALSE))</f>
        <v/>
      </c>
      <c r="F126" s="17" t="n"/>
    </row>
    <row r="127" ht="22" customHeight="1">
      <c r="A127" s="10" t="n">
        <v>123</v>
      </c>
      <c r="B127" s="11" t="n"/>
      <c r="C127" s="12" t="n"/>
      <c r="D127" s="13" t="n"/>
      <c r="E127" s="14">
        <f>IF(D127="","",VLOOKUP(D127,Configuração!B5:C6,2,FALSE))</f>
        <v/>
      </c>
      <c r="F127" s="12" t="n"/>
    </row>
    <row r="128" ht="22" customHeight="1">
      <c r="A128" s="15" t="n">
        <v>124</v>
      </c>
      <c r="B128" s="16" t="n"/>
      <c r="C128" s="17" t="n"/>
      <c r="D128" s="18" t="n"/>
      <c r="E128" s="19">
        <f>IF(D128="","",VLOOKUP(D128,Configuração!B5:C6,2,FALSE))</f>
        <v/>
      </c>
      <c r="F128" s="17" t="n"/>
    </row>
    <row r="129" ht="22" customHeight="1">
      <c r="A129" s="10" t="n">
        <v>125</v>
      </c>
      <c r="B129" s="11" t="n"/>
      <c r="C129" s="12" t="n"/>
      <c r="D129" s="13" t="n"/>
      <c r="E129" s="14">
        <f>IF(D129="","",VLOOKUP(D129,Configuração!B5:C6,2,FALSE))</f>
        <v/>
      </c>
      <c r="F129" s="12" t="n"/>
    </row>
    <row r="130" ht="22" customHeight="1">
      <c r="A130" s="15" t="n">
        <v>126</v>
      </c>
      <c r="B130" s="16" t="n"/>
      <c r="C130" s="17" t="n"/>
      <c r="D130" s="18" t="n"/>
      <c r="E130" s="19">
        <f>IF(D130="","",VLOOKUP(D130,Configuração!B5:C6,2,FALSE))</f>
        <v/>
      </c>
      <c r="F130" s="17" t="n"/>
    </row>
    <row r="131" ht="22" customHeight="1">
      <c r="A131" s="10" t="n">
        <v>127</v>
      </c>
      <c r="B131" s="11" t="n"/>
      <c r="C131" s="12" t="n"/>
      <c r="D131" s="13" t="n"/>
      <c r="E131" s="14">
        <f>IF(D131="","",VLOOKUP(D131,Configuração!B5:C6,2,FALSE))</f>
        <v/>
      </c>
      <c r="F131" s="12" t="n"/>
    </row>
    <row r="132" ht="22" customHeight="1">
      <c r="A132" s="15" t="n">
        <v>128</v>
      </c>
      <c r="B132" s="16" t="n"/>
      <c r="C132" s="17" t="n"/>
      <c r="D132" s="18" t="n"/>
      <c r="E132" s="19">
        <f>IF(D132="","",VLOOKUP(D132,Configuração!B5:C6,2,FALSE))</f>
        <v/>
      </c>
      <c r="F132" s="17" t="n"/>
    </row>
    <row r="133" ht="22" customHeight="1">
      <c r="A133" s="10" t="n">
        <v>129</v>
      </c>
      <c r="B133" s="11" t="n"/>
      <c r="C133" s="12" t="n"/>
      <c r="D133" s="13" t="n"/>
      <c r="E133" s="14">
        <f>IF(D133="","",VLOOKUP(D133,Configuração!B5:C6,2,FALSE))</f>
        <v/>
      </c>
      <c r="F133" s="12" t="n"/>
    </row>
    <row r="134" ht="22" customHeight="1">
      <c r="A134" s="15" t="n">
        <v>130</v>
      </c>
      <c r="B134" s="16" t="n"/>
      <c r="C134" s="17" t="n"/>
      <c r="D134" s="18" t="n"/>
      <c r="E134" s="19">
        <f>IF(D134="","",VLOOKUP(D134,Configuração!B5:C6,2,FALSE))</f>
        <v/>
      </c>
      <c r="F134" s="17" t="n"/>
    </row>
    <row r="135" ht="22" customHeight="1">
      <c r="A135" s="10" t="n">
        <v>131</v>
      </c>
      <c r="B135" s="11" t="n"/>
      <c r="C135" s="12" t="n"/>
      <c r="D135" s="13" t="n"/>
      <c r="E135" s="14">
        <f>IF(D135="","",VLOOKUP(D135,Configuração!B5:C6,2,FALSE))</f>
        <v/>
      </c>
      <c r="F135" s="12" t="n"/>
    </row>
    <row r="136" ht="22" customHeight="1">
      <c r="A136" s="15" t="n">
        <v>132</v>
      </c>
      <c r="B136" s="16" t="n"/>
      <c r="C136" s="17" t="n"/>
      <c r="D136" s="18" t="n"/>
      <c r="E136" s="19">
        <f>IF(D136="","",VLOOKUP(D136,Configuração!B5:C6,2,FALSE))</f>
        <v/>
      </c>
      <c r="F136" s="17" t="n"/>
    </row>
    <row r="137" ht="22" customHeight="1">
      <c r="A137" s="10" t="n">
        <v>133</v>
      </c>
      <c r="B137" s="11" t="n"/>
      <c r="C137" s="12" t="n"/>
      <c r="D137" s="13" t="n"/>
      <c r="E137" s="14">
        <f>IF(D137="","",VLOOKUP(D137,Configuração!B5:C6,2,FALSE))</f>
        <v/>
      </c>
      <c r="F137" s="12" t="n"/>
    </row>
    <row r="138" ht="22" customHeight="1">
      <c r="A138" s="15" t="n">
        <v>134</v>
      </c>
      <c r="B138" s="16" t="n"/>
      <c r="C138" s="17" t="n"/>
      <c r="D138" s="18" t="n"/>
      <c r="E138" s="19">
        <f>IF(D138="","",VLOOKUP(D138,Configuração!B5:C6,2,FALSE))</f>
        <v/>
      </c>
      <c r="F138" s="17" t="n"/>
    </row>
    <row r="139" ht="22" customHeight="1">
      <c r="A139" s="10" t="n">
        <v>135</v>
      </c>
      <c r="B139" s="11" t="n"/>
      <c r="C139" s="12" t="n"/>
      <c r="D139" s="13" t="n"/>
      <c r="E139" s="14">
        <f>IF(D139="","",VLOOKUP(D139,Configuração!B5:C6,2,FALSE))</f>
        <v/>
      </c>
      <c r="F139" s="12" t="n"/>
    </row>
    <row r="140" ht="22" customHeight="1">
      <c r="A140" s="15" t="n">
        <v>136</v>
      </c>
      <c r="B140" s="16" t="n"/>
      <c r="C140" s="17" t="n"/>
      <c r="D140" s="18" t="n"/>
      <c r="E140" s="19">
        <f>IF(D140="","",VLOOKUP(D140,Configuração!B5:C6,2,FALSE))</f>
        <v/>
      </c>
      <c r="F140" s="17" t="n"/>
    </row>
    <row r="141" ht="22" customHeight="1">
      <c r="A141" s="10" t="n">
        <v>137</v>
      </c>
      <c r="B141" s="11" t="n"/>
      <c r="C141" s="12" t="n"/>
      <c r="D141" s="13" t="n"/>
      <c r="E141" s="14">
        <f>IF(D141="","",VLOOKUP(D141,Configuração!B5:C6,2,FALSE))</f>
        <v/>
      </c>
      <c r="F141" s="12" t="n"/>
    </row>
    <row r="142" ht="22" customHeight="1">
      <c r="A142" s="15" t="n">
        <v>138</v>
      </c>
      <c r="B142" s="16" t="n"/>
      <c r="C142" s="17" t="n"/>
      <c r="D142" s="18" t="n"/>
      <c r="E142" s="19">
        <f>IF(D142="","",VLOOKUP(D142,Configuração!B5:C6,2,FALSE))</f>
        <v/>
      </c>
      <c r="F142" s="17" t="n"/>
    </row>
    <row r="143" ht="22" customHeight="1">
      <c r="A143" s="10" t="n">
        <v>139</v>
      </c>
      <c r="B143" s="11" t="n"/>
      <c r="C143" s="12" t="n"/>
      <c r="D143" s="13" t="n"/>
      <c r="E143" s="14">
        <f>IF(D143="","",VLOOKUP(D143,Configuração!B5:C6,2,FALSE))</f>
        <v/>
      </c>
      <c r="F143" s="12" t="n"/>
    </row>
    <row r="144" ht="22" customHeight="1">
      <c r="A144" s="15" t="n">
        <v>140</v>
      </c>
      <c r="B144" s="16" t="n"/>
      <c r="C144" s="17" t="n"/>
      <c r="D144" s="18" t="n"/>
      <c r="E144" s="19">
        <f>IF(D144="","",VLOOKUP(D144,Configuração!B5:C6,2,FALSE))</f>
        <v/>
      </c>
      <c r="F144" s="17" t="n"/>
    </row>
    <row r="145" ht="22" customHeight="1">
      <c r="A145" s="10" t="n">
        <v>141</v>
      </c>
      <c r="B145" s="11" t="n"/>
      <c r="C145" s="12" t="n"/>
      <c r="D145" s="13" t="n"/>
      <c r="E145" s="14">
        <f>IF(D145="","",VLOOKUP(D145,Configuração!B5:C6,2,FALSE))</f>
        <v/>
      </c>
      <c r="F145" s="12" t="n"/>
    </row>
    <row r="146" ht="22" customHeight="1">
      <c r="A146" s="15" t="n">
        <v>142</v>
      </c>
      <c r="B146" s="16" t="n"/>
      <c r="C146" s="17" t="n"/>
      <c r="D146" s="18" t="n"/>
      <c r="E146" s="19">
        <f>IF(D146="","",VLOOKUP(D146,Configuração!B5:C6,2,FALSE))</f>
        <v/>
      </c>
      <c r="F146" s="17" t="n"/>
    </row>
    <row r="147" ht="22" customHeight="1">
      <c r="A147" s="10" t="n">
        <v>143</v>
      </c>
      <c r="B147" s="11" t="n"/>
      <c r="C147" s="12" t="n"/>
      <c r="D147" s="13" t="n"/>
      <c r="E147" s="14">
        <f>IF(D147="","",VLOOKUP(D147,Configuração!B5:C6,2,FALSE))</f>
        <v/>
      </c>
      <c r="F147" s="12" t="n"/>
    </row>
    <row r="148" ht="22" customHeight="1">
      <c r="A148" s="15" t="n">
        <v>144</v>
      </c>
      <c r="B148" s="16" t="n"/>
      <c r="C148" s="17" t="n"/>
      <c r="D148" s="18" t="n"/>
      <c r="E148" s="19">
        <f>IF(D148="","",VLOOKUP(D148,Configuração!B5:C6,2,FALSE))</f>
        <v/>
      </c>
      <c r="F148" s="17" t="n"/>
    </row>
    <row r="149" ht="22" customHeight="1">
      <c r="A149" s="10" t="n">
        <v>145</v>
      </c>
      <c r="B149" s="11" t="n"/>
      <c r="C149" s="12" t="n"/>
      <c r="D149" s="13" t="n"/>
      <c r="E149" s="14">
        <f>IF(D149="","",VLOOKUP(D149,Configuração!B5:C6,2,FALSE))</f>
        <v/>
      </c>
      <c r="F149" s="12" t="n"/>
    </row>
    <row r="150" ht="22" customHeight="1">
      <c r="A150" s="15" t="n">
        <v>146</v>
      </c>
      <c r="B150" s="16" t="n"/>
      <c r="C150" s="17" t="n"/>
      <c r="D150" s="18" t="n"/>
      <c r="E150" s="19">
        <f>IF(D150="","",VLOOKUP(D150,Configuração!B5:C6,2,FALSE))</f>
        <v/>
      </c>
      <c r="F150" s="17" t="n"/>
    </row>
    <row r="151" ht="22" customHeight="1">
      <c r="A151" s="10" t="n">
        <v>147</v>
      </c>
      <c r="B151" s="11" t="n"/>
      <c r="C151" s="12" t="n"/>
      <c r="D151" s="13" t="n"/>
      <c r="E151" s="14">
        <f>IF(D151="","",VLOOKUP(D151,Configuração!B5:C6,2,FALSE))</f>
        <v/>
      </c>
      <c r="F151" s="12" t="n"/>
    </row>
    <row r="152" ht="22" customHeight="1">
      <c r="A152" s="15" t="n">
        <v>148</v>
      </c>
      <c r="B152" s="16" t="n"/>
      <c r="C152" s="17" t="n"/>
      <c r="D152" s="18" t="n"/>
      <c r="E152" s="19">
        <f>IF(D152="","",VLOOKUP(D152,Configuração!B5:C6,2,FALSE))</f>
        <v/>
      </c>
      <c r="F152" s="17" t="n"/>
    </row>
    <row r="153" ht="22" customHeight="1">
      <c r="A153" s="10" t="n">
        <v>149</v>
      </c>
      <c r="B153" s="11" t="n"/>
      <c r="C153" s="12" t="n"/>
      <c r="D153" s="13" t="n"/>
      <c r="E153" s="14">
        <f>IF(D153="","",VLOOKUP(D153,Configuração!B5:C6,2,FALSE))</f>
        <v/>
      </c>
      <c r="F153" s="12" t="n"/>
    </row>
    <row r="154" ht="22" customHeight="1">
      <c r="A154" s="15" t="n">
        <v>150</v>
      </c>
      <c r="B154" s="16" t="n"/>
      <c r="C154" s="17" t="n"/>
      <c r="D154" s="18" t="n"/>
      <c r="E154" s="19">
        <f>IF(D154="","",VLOOKUP(D154,Configuração!B5:C6,2,FALSE))</f>
        <v/>
      </c>
      <c r="F154" s="17" t="n"/>
    </row>
    <row r="155" ht="22" customHeight="1">
      <c r="A155" s="10" t="n">
        <v>151</v>
      </c>
      <c r="B155" s="11" t="n"/>
      <c r="C155" s="12" t="n"/>
      <c r="D155" s="13" t="n"/>
      <c r="E155" s="14">
        <f>IF(D155="","",VLOOKUP(D155,Configuração!B5:C6,2,FALSE))</f>
        <v/>
      </c>
      <c r="F155" s="12" t="n"/>
    </row>
    <row r="156" ht="22" customHeight="1">
      <c r="A156" s="15" t="n">
        <v>152</v>
      </c>
      <c r="B156" s="16" t="n"/>
      <c r="C156" s="17" t="n"/>
      <c r="D156" s="18" t="n"/>
      <c r="E156" s="19">
        <f>IF(D156="","",VLOOKUP(D156,Configuração!B5:C6,2,FALSE))</f>
        <v/>
      </c>
      <c r="F156" s="17" t="n"/>
    </row>
    <row r="157" ht="22" customHeight="1">
      <c r="A157" s="10" t="n">
        <v>153</v>
      </c>
      <c r="B157" s="11" t="n"/>
      <c r="C157" s="12" t="n"/>
      <c r="D157" s="13" t="n"/>
      <c r="E157" s="14">
        <f>IF(D157="","",VLOOKUP(D157,Configuração!B5:C6,2,FALSE))</f>
        <v/>
      </c>
      <c r="F157" s="12" t="n"/>
    </row>
    <row r="158" ht="22" customHeight="1">
      <c r="A158" s="15" t="n">
        <v>154</v>
      </c>
      <c r="B158" s="16" t="n"/>
      <c r="C158" s="17" t="n"/>
      <c r="D158" s="18" t="n"/>
      <c r="E158" s="19">
        <f>IF(D158="","",VLOOKUP(D158,Configuração!B5:C6,2,FALSE))</f>
        <v/>
      </c>
      <c r="F158" s="17" t="n"/>
    </row>
    <row r="159" ht="22" customHeight="1">
      <c r="A159" s="10" t="n">
        <v>155</v>
      </c>
      <c r="B159" s="11" t="n"/>
      <c r="C159" s="12" t="n"/>
      <c r="D159" s="13" t="n"/>
      <c r="E159" s="14">
        <f>IF(D159="","",VLOOKUP(D159,Configuração!B5:C6,2,FALSE))</f>
        <v/>
      </c>
      <c r="F159" s="12" t="n"/>
    </row>
    <row r="160" ht="22" customHeight="1">
      <c r="A160" s="15" t="n">
        <v>156</v>
      </c>
      <c r="B160" s="16" t="n"/>
      <c r="C160" s="17" t="n"/>
      <c r="D160" s="18" t="n"/>
      <c r="E160" s="19">
        <f>IF(D160="","",VLOOKUP(D160,Configuração!B5:C6,2,FALSE))</f>
        <v/>
      </c>
      <c r="F160" s="17" t="n"/>
    </row>
    <row r="161" ht="22" customHeight="1">
      <c r="A161" s="10" t="n">
        <v>157</v>
      </c>
      <c r="B161" s="11" t="n"/>
      <c r="C161" s="12" t="n"/>
      <c r="D161" s="13" t="n"/>
      <c r="E161" s="14">
        <f>IF(D161="","",VLOOKUP(D161,Configuração!B5:C6,2,FALSE))</f>
        <v/>
      </c>
      <c r="F161" s="12" t="n"/>
    </row>
    <row r="162" ht="22" customHeight="1">
      <c r="A162" s="15" t="n">
        <v>158</v>
      </c>
      <c r="B162" s="16" t="n"/>
      <c r="C162" s="17" t="n"/>
      <c r="D162" s="18" t="n"/>
      <c r="E162" s="19">
        <f>IF(D162="","",VLOOKUP(D162,Configuração!B5:C6,2,FALSE))</f>
        <v/>
      </c>
      <c r="F162" s="17" t="n"/>
    </row>
    <row r="163" ht="22" customHeight="1">
      <c r="A163" s="10" t="n">
        <v>159</v>
      </c>
      <c r="B163" s="11" t="n"/>
      <c r="C163" s="12" t="n"/>
      <c r="D163" s="13" t="n"/>
      <c r="E163" s="14">
        <f>IF(D163="","",VLOOKUP(D163,Configuração!B5:C6,2,FALSE))</f>
        <v/>
      </c>
      <c r="F163" s="12" t="n"/>
    </row>
    <row r="164" ht="22" customHeight="1">
      <c r="A164" s="15" t="n">
        <v>160</v>
      </c>
      <c r="B164" s="16" t="n"/>
      <c r="C164" s="17" t="n"/>
      <c r="D164" s="18" t="n"/>
      <c r="E164" s="19">
        <f>IF(D164="","",VLOOKUP(D164,Configuração!B5:C6,2,FALSE))</f>
        <v/>
      </c>
      <c r="F164" s="17" t="n"/>
    </row>
    <row r="165" ht="22" customHeight="1">
      <c r="A165" s="10" t="n">
        <v>161</v>
      </c>
      <c r="B165" s="11" t="n"/>
      <c r="C165" s="12" t="n"/>
      <c r="D165" s="13" t="n"/>
      <c r="E165" s="14">
        <f>IF(D165="","",VLOOKUP(D165,Configuração!B5:C6,2,FALSE))</f>
        <v/>
      </c>
      <c r="F165" s="12" t="n"/>
    </row>
    <row r="166" ht="22" customHeight="1">
      <c r="A166" s="15" t="n">
        <v>162</v>
      </c>
      <c r="B166" s="16" t="n"/>
      <c r="C166" s="17" t="n"/>
      <c r="D166" s="18" t="n"/>
      <c r="E166" s="19">
        <f>IF(D166="","",VLOOKUP(D166,Configuração!B5:C6,2,FALSE))</f>
        <v/>
      </c>
      <c r="F166" s="17" t="n"/>
    </row>
    <row r="167" ht="22" customHeight="1">
      <c r="A167" s="10" t="n">
        <v>163</v>
      </c>
      <c r="B167" s="11" t="n"/>
      <c r="C167" s="12" t="n"/>
      <c r="D167" s="13" t="n"/>
      <c r="E167" s="14">
        <f>IF(D167="","",VLOOKUP(D167,Configuração!B5:C6,2,FALSE))</f>
        <v/>
      </c>
      <c r="F167" s="12" t="n"/>
    </row>
    <row r="168" ht="22" customHeight="1">
      <c r="A168" s="15" t="n">
        <v>164</v>
      </c>
      <c r="B168" s="16" t="n"/>
      <c r="C168" s="17" t="n"/>
      <c r="D168" s="18" t="n"/>
      <c r="E168" s="19">
        <f>IF(D168="","",VLOOKUP(D168,Configuração!B5:C6,2,FALSE))</f>
        <v/>
      </c>
      <c r="F168" s="17" t="n"/>
    </row>
    <row r="169" ht="22" customHeight="1">
      <c r="A169" s="10" t="n">
        <v>165</v>
      </c>
      <c r="B169" s="11" t="n"/>
      <c r="C169" s="12" t="n"/>
      <c r="D169" s="13" t="n"/>
      <c r="E169" s="14">
        <f>IF(D169="","",VLOOKUP(D169,Configuração!B5:C6,2,FALSE))</f>
        <v/>
      </c>
      <c r="F169" s="12" t="n"/>
    </row>
    <row r="170" ht="22" customHeight="1">
      <c r="A170" s="15" t="n">
        <v>166</v>
      </c>
      <c r="B170" s="16" t="n"/>
      <c r="C170" s="17" t="n"/>
      <c r="D170" s="18" t="n"/>
      <c r="E170" s="19">
        <f>IF(D170="","",VLOOKUP(D170,Configuração!B5:C6,2,FALSE))</f>
        <v/>
      </c>
      <c r="F170" s="17" t="n"/>
    </row>
    <row r="171" ht="22" customHeight="1">
      <c r="A171" s="10" t="n">
        <v>167</v>
      </c>
      <c r="B171" s="11" t="n"/>
      <c r="C171" s="12" t="n"/>
      <c r="D171" s="13" t="n"/>
      <c r="E171" s="14">
        <f>IF(D171="","",VLOOKUP(D171,Configuração!B5:C6,2,FALSE))</f>
        <v/>
      </c>
      <c r="F171" s="12" t="n"/>
    </row>
    <row r="172" ht="22" customHeight="1">
      <c r="A172" s="15" t="n">
        <v>168</v>
      </c>
      <c r="B172" s="16" t="n"/>
      <c r="C172" s="17" t="n"/>
      <c r="D172" s="18" t="n"/>
      <c r="E172" s="19">
        <f>IF(D172="","",VLOOKUP(D172,Configuração!B5:C6,2,FALSE))</f>
        <v/>
      </c>
      <c r="F172" s="17" t="n"/>
    </row>
    <row r="173" ht="22" customHeight="1">
      <c r="A173" s="10" t="n">
        <v>169</v>
      </c>
      <c r="B173" s="11" t="n"/>
      <c r="C173" s="12" t="n"/>
      <c r="D173" s="13" t="n"/>
      <c r="E173" s="14">
        <f>IF(D173="","",VLOOKUP(D173,Configuração!B5:C6,2,FALSE))</f>
        <v/>
      </c>
      <c r="F173" s="12" t="n"/>
    </row>
    <row r="174" ht="22" customHeight="1">
      <c r="A174" s="15" t="n">
        <v>170</v>
      </c>
      <c r="B174" s="16" t="n"/>
      <c r="C174" s="17" t="n"/>
      <c r="D174" s="18" t="n"/>
      <c r="E174" s="19">
        <f>IF(D174="","",VLOOKUP(D174,Configuração!B5:C6,2,FALSE))</f>
        <v/>
      </c>
      <c r="F174" s="17" t="n"/>
    </row>
    <row r="175" ht="22" customHeight="1">
      <c r="A175" s="10" t="n">
        <v>171</v>
      </c>
      <c r="B175" s="11" t="n"/>
      <c r="C175" s="12" t="n"/>
      <c r="D175" s="13" t="n"/>
      <c r="E175" s="14">
        <f>IF(D175="","",VLOOKUP(D175,Configuração!B5:C6,2,FALSE))</f>
        <v/>
      </c>
      <c r="F175" s="12" t="n"/>
    </row>
    <row r="176" ht="22" customHeight="1">
      <c r="A176" s="15" t="n">
        <v>172</v>
      </c>
      <c r="B176" s="16" t="n"/>
      <c r="C176" s="17" t="n"/>
      <c r="D176" s="18" t="n"/>
      <c r="E176" s="19">
        <f>IF(D176="","",VLOOKUP(D176,Configuração!B5:C6,2,FALSE))</f>
        <v/>
      </c>
      <c r="F176" s="17" t="n"/>
    </row>
    <row r="177" ht="22" customHeight="1">
      <c r="A177" s="10" t="n">
        <v>173</v>
      </c>
      <c r="B177" s="11" t="n"/>
      <c r="C177" s="12" t="n"/>
      <c r="D177" s="13" t="n"/>
      <c r="E177" s="14">
        <f>IF(D177="","",VLOOKUP(D177,Configuração!B5:C6,2,FALSE))</f>
        <v/>
      </c>
      <c r="F177" s="12" t="n"/>
    </row>
    <row r="178" ht="22" customHeight="1">
      <c r="A178" s="15" t="n">
        <v>174</v>
      </c>
      <c r="B178" s="16" t="n"/>
      <c r="C178" s="17" t="n"/>
      <c r="D178" s="18" t="n"/>
      <c r="E178" s="19">
        <f>IF(D178="","",VLOOKUP(D178,Configuração!B5:C6,2,FALSE))</f>
        <v/>
      </c>
      <c r="F178" s="17" t="n"/>
    </row>
    <row r="179" ht="22" customHeight="1">
      <c r="A179" s="10" t="n">
        <v>175</v>
      </c>
      <c r="B179" s="11" t="n"/>
      <c r="C179" s="12" t="n"/>
      <c r="D179" s="13" t="n"/>
      <c r="E179" s="14">
        <f>IF(D179="","",VLOOKUP(D179,Configuração!B5:C6,2,FALSE))</f>
        <v/>
      </c>
      <c r="F179" s="12" t="n"/>
    </row>
    <row r="180" ht="22" customHeight="1">
      <c r="A180" s="15" t="n">
        <v>176</v>
      </c>
      <c r="B180" s="16" t="n"/>
      <c r="C180" s="17" t="n"/>
      <c r="D180" s="18" t="n"/>
      <c r="E180" s="19">
        <f>IF(D180="","",VLOOKUP(D180,Configuração!B5:C6,2,FALSE))</f>
        <v/>
      </c>
      <c r="F180" s="17" t="n"/>
    </row>
    <row r="181" ht="22" customHeight="1">
      <c r="A181" s="10" t="n">
        <v>177</v>
      </c>
      <c r="B181" s="11" t="n"/>
      <c r="C181" s="12" t="n"/>
      <c r="D181" s="13" t="n"/>
      <c r="E181" s="14">
        <f>IF(D181="","",VLOOKUP(D181,Configuração!B5:C6,2,FALSE))</f>
        <v/>
      </c>
      <c r="F181" s="12" t="n"/>
    </row>
    <row r="182" ht="22" customHeight="1">
      <c r="A182" s="15" t="n">
        <v>178</v>
      </c>
      <c r="B182" s="16" t="n"/>
      <c r="C182" s="17" t="n"/>
      <c r="D182" s="18" t="n"/>
      <c r="E182" s="19">
        <f>IF(D182="","",VLOOKUP(D182,Configuração!B5:C6,2,FALSE))</f>
        <v/>
      </c>
      <c r="F182" s="17" t="n"/>
    </row>
    <row r="183" ht="22" customHeight="1">
      <c r="A183" s="10" t="n">
        <v>179</v>
      </c>
      <c r="B183" s="11" t="n"/>
      <c r="C183" s="12" t="n"/>
      <c r="D183" s="13" t="n"/>
      <c r="E183" s="14">
        <f>IF(D183="","",VLOOKUP(D183,Configuração!B5:C6,2,FALSE))</f>
        <v/>
      </c>
      <c r="F183" s="12" t="n"/>
    </row>
    <row r="184" ht="22" customHeight="1">
      <c r="A184" s="15" t="n">
        <v>180</v>
      </c>
      <c r="B184" s="16" t="n"/>
      <c r="C184" s="17" t="n"/>
      <c r="D184" s="18" t="n"/>
      <c r="E184" s="19">
        <f>IF(D184="","",VLOOKUP(D184,Configuração!B5:C6,2,FALSE))</f>
        <v/>
      </c>
      <c r="F184" s="17" t="n"/>
    </row>
    <row r="185" ht="22" customHeight="1">
      <c r="A185" s="10" t="n">
        <v>181</v>
      </c>
      <c r="B185" s="11" t="n"/>
      <c r="C185" s="12" t="n"/>
      <c r="D185" s="13" t="n"/>
      <c r="E185" s="14">
        <f>IF(D185="","",VLOOKUP(D185,Configuração!B5:C6,2,FALSE))</f>
        <v/>
      </c>
      <c r="F185" s="12" t="n"/>
    </row>
    <row r="186" ht="22" customHeight="1">
      <c r="A186" s="15" t="n">
        <v>182</v>
      </c>
      <c r="B186" s="16" t="n"/>
      <c r="C186" s="17" t="n"/>
      <c r="D186" s="18" t="n"/>
      <c r="E186" s="19">
        <f>IF(D186="","",VLOOKUP(D186,Configuração!B5:C6,2,FALSE))</f>
        <v/>
      </c>
      <c r="F186" s="17" t="n"/>
    </row>
    <row r="187" ht="22" customHeight="1">
      <c r="A187" s="10" t="n">
        <v>183</v>
      </c>
      <c r="B187" s="11" t="n"/>
      <c r="C187" s="12" t="n"/>
      <c r="D187" s="13" t="n"/>
      <c r="E187" s="14">
        <f>IF(D187="","",VLOOKUP(D187,Configuração!B5:C6,2,FALSE))</f>
        <v/>
      </c>
      <c r="F187" s="12" t="n"/>
    </row>
    <row r="188" ht="22" customHeight="1">
      <c r="A188" s="15" t="n">
        <v>184</v>
      </c>
      <c r="B188" s="16" t="n"/>
      <c r="C188" s="17" t="n"/>
      <c r="D188" s="18" t="n"/>
      <c r="E188" s="19">
        <f>IF(D188="","",VLOOKUP(D188,Configuração!B5:C6,2,FALSE))</f>
        <v/>
      </c>
      <c r="F188" s="17" t="n"/>
    </row>
    <row r="189" ht="22" customHeight="1">
      <c r="A189" s="10" t="n">
        <v>185</v>
      </c>
      <c r="B189" s="11" t="n"/>
      <c r="C189" s="12" t="n"/>
      <c r="D189" s="13" t="n"/>
      <c r="E189" s="14">
        <f>IF(D189="","",VLOOKUP(D189,Configuração!B5:C6,2,FALSE))</f>
        <v/>
      </c>
      <c r="F189" s="12" t="n"/>
    </row>
    <row r="190" ht="22" customHeight="1">
      <c r="A190" s="15" t="n">
        <v>186</v>
      </c>
      <c r="B190" s="16" t="n"/>
      <c r="C190" s="17" t="n"/>
      <c r="D190" s="18" t="n"/>
      <c r="E190" s="19">
        <f>IF(D190="","",VLOOKUP(D190,Configuração!B5:C6,2,FALSE))</f>
        <v/>
      </c>
      <c r="F190" s="17" t="n"/>
    </row>
    <row r="191" ht="22" customHeight="1">
      <c r="A191" s="10" t="n">
        <v>187</v>
      </c>
      <c r="B191" s="11" t="n"/>
      <c r="C191" s="12" t="n"/>
      <c r="D191" s="13" t="n"/>
      <c r="E191" s="14">
        <f>IF(D191="","",VLOOKUP(D191,Configuração!B5:C6,2,FALSE))</f>
        <v/>
      </c>
      <c r="F191" s="12" t="n"/>
    </row>
    <row r="192" ht="22" customHeight="1">
      <c r="A192" s="15" t="n">
        <v>188</v>
      </c>
      <c r="B192" s="16" t="n"/>
      <c r="C192" s="17" t="n"/>
      <c r="D192" s="18" t="n"/>
      <c r="E192" s="19">
        <f>IF(D192="","",VLOOKUP(D192,Configuração!B5:C6,2,FALSE))</f>
        <v/>
      </c>
      <c r="F192" s="17" t="n"/>
    </row>
    <row r="193" ht="22" customHeight="1">
      <c r="A193" s="10" t="n">
        <v>189</v>
      </c>
      <c r="B193" s="11" t="n"/>
      <c r="C193" s="12" t="n"/>
      <c r="D193" s="13" t="n"/>
      <c r="E193" s="14">
        <f>IF(D193="","",VLOOKUP(D193,Configuração!B5:C6,2,FALSE))</f>
        <v/>
      </c>
      <c r="F193" s="12" t="n"/>
    </row>
    <row r="194" ht="22" customHeight="1">
      <c r="A194" s="15" t="n">
        <v>190</v>
      </c>
      <c r="B194" s="16" t="n"/>
      <c r="C194" s="17" t="n"/>
      <c r="D194" s="18" t="n"/>
      <c r="E194" s="19">
        <f>IF(D194="","",VLOOKUP(D194,Configuração!B5:C6,2,FALSE))</f>
        <v/>
      </c>
      <c r="F194" s="17" t="n"/>
    </row>
    <row r="195" ht="22" customHeight="1">
      <c r="A195" s="10" t="n">
        <v>191</v>
      </c>
      <c r="B195" s="11" t="n"/>
      <c r="C195" s="12" t="n"/>
      <c r="D195" s="13" t="n"/>
      <c r="E195" s="14">
        <f>IF(D195="","",VLOOKUP(D195,Configuração!B5:C6,2,FALSE))</f>
        <v/>
      </c>
      <c r="F195" s="12" t="n"/>
    </row>
    <row r="196" ht="22" customHeight="1">
      <c r="A196" s="15" t="n">
        <v>192</v>
      </c>
      <c r="B196" s="16" t="n"/>
      <c r="C196" s="17" t="n"/>
      <c r="D196" s="18" t="n"/>
      <c r="E196" s="19">
        <f>IF(D196="","",VLOOKUP(D196,Configuração!B5:C6,2,FALSE))</f>
        <v/>
      </c>
      <c r="F196" s="17" t="n"/>
    </row>
    <row r="197" ht="22" customHeight="1">
      <c r="A197" s="10" t="n">
        <v>193</v>
      </c>
      <c r="B197" s="11" t="n"/>
      <c r="C197" s="12" t="n"/>
      <c r="D197" s="13" t="n"/>
      <c r="E197" s="14">
        <f>IF(D197="","",VLOOKUP(D197,Configuração!B5:C6,2,FALSE))</f>
        <v/>
      </c>
      <c r="F197" s="12" t="n"/>
    </row>
    <row r="198" ht="22" customHeight="1">
      <c r="A198" s="15" t="n">
        <v>194</v>
      </c>
      <c r="B198" s="16" t="n"/>
      <c r="C198" s="17" t="n"/>
      <c r="D198" s="18" t="n"/>
      <c r="E198" s="19">
        <f>IF(D198="","",VLOOKUP(D198,Configuração!B5:C6,2,FALSE))</f>
        <v/>
      </c>
      <c r="F198" s="17" t="n"/>
    </row>
    <row r="199" ht="22" customHeight="1">
      <c r="A199" s="10" t="n">
        <v>195</v>
      </c>
      <c r="B199" s="11" t="n"/>
      <c r="C199" s="12" t="n"/>
      <c r="D199" s="13" t="n"/>
      <c r="E199" s="14">
        <f>IF(D199="","",VLOOKUP(D199,Configuração!B5:C6,2,FALSE))</f>
        <v/>
      </c>
      <c r="F199" s="12" t="n"/>
    </row>
    <row r="200" ht="22" customHeight="1">
      <c r="A200" s="15" t="n">
        <v>196</v>
      </c>
      <c r="B200" s="16" t="n"/>
      <c r="C200" s="17" t="n"/>
      <c r="D200" s="18" t="n"/>
      <c r="E200" s="19">
        <f>IF(D200="","",VLOOKUP(D200,Configuração!B5:C6,2,FALSE))</f>
        <v/>
      </c>
      <c r="F200" s="17" t="n"/>
    </row>
    <row r="201" ht="22" customHeight="1">
      <c r="A201" s="10" t="n">
        <v>197</v>
      </c>
      <c r="B201" s="11" t="n"/>
      <c r="C201" s="12" t="n"/>
      <c r="D201" s="13" t="n"/>
      <c r="E201" s="14">
        <f>IF(D201="","",VLOOKUP(D201,Configuração!B5:C6,2,FALSE))</f>
        <v/>
      </c>
      <c r="F201" s="12" t="n"/>
    </row>
    <row r="202" ht="22" customHeight="1">
      <c r="A202" s="15" t="n">
        <v>198</v>
      </c>
      <c r="B202" s="16" t="n"/>
      <c r="C202" s="17" t="n"/>
      <c r="D202" s="18" t="n"/>
      <c r="E202" s="19">
        <f>IF(D202="","",VLOOKUP(D202,Configuração!B5:C6,2,FALSE))</f>
        <v/>
      </c>
      <c r="F202" s="17" t="n"/>
    </row>
    <row r="203" ht="22" customHeight="1">
      <c r="A203" s="10" t="n">
        <v>199</v>
      </c>
      <c r="B203" s="11" t="n"/>
      <c r="C203" s="12" t="n"/>
      <c r="D203" s="13" t="n"/>
      <c r="E203" s="14">
        <f>IF(D203="","",VLOOKUP(D203,Configuração!B5:C6,2,FALSE))</f>
        <v/>
      </c>
      <c r="F203" s="12" t="n"/>
    </row>
    <row r="204" ht="22" customHeight="1">
      <c r="A204" s="15" t="n">
        <v>200</v>
      </c>
      <c r="B204" s="16" t="n"/>
      <c r="C204" s="17" t="n"/>
      <c r="D204" s="18" t="n"/>
      <c r="E204" s="19">
        <f>IF(D204="","",VLOOKUP(D204,Configuração!B5:C6,2,FALSE))</f>
        <v/>
      </c>
      <c r="F204" s="17" t="n"/>
    </row>
    <row r="205">
      <c r="A205" s="20" t="inlineStr">
        <is>
          <t>TOTAL GERAL</t>
        </is>
      </c>
      <c r="B205" s="21" t="n"/>
      <c r="C205" s="21" t="n"/>
      <c r="D205" s="21" t="n"/>
      <c r="E205" s="22">
        <f>SUM(E5:E204)</f>
        <v/>
      </c>
      <c r="F205" s="21" t="n"/>
    </row>
  </sheetData>
  <autoFilter ref="A4:F204"/>
  <mergeCells count="3">
    <mergeCell ref="A205:D205"/>
    <mergeCell ref="A2:B2"/>
    <mergeCell ref="A1:F1"/>
  </mergeCells>
  <dataValidations count="1">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showDropDown="0" showInputMessage="0" showErrorMessage="0" allowBlank="1" errorTitle="Cargo inválido" error="Selecione Motorista ou Ajudante" promptTitle="Cargo" prompt="Selecione o cargo" type="list">
      <formula1>"Motorista,Ajudante"</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1FAA59"/>
    <outlinePr summaryBelow="1" summaryRight="1"/>
    <pageSetUpPr fitToPage="1"/>
  </sheetPr>
  <dimension ref="A1:F59"/>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16" customWidth="1" min="3" max="3"/>
    <col width="18" customWidth="1" min="4" max="4"/>
    <col width="16" customWidth="1" min="5" max="5"/>
    <col width="18" customWidth="1" min="6" max="6"/>
  </cols>
  <sheetData>
    <row r="1" ht="36" customHeight="1">
      <c r="A1" s="1" t="inlineStr">
        <is>
          <t>RESUMO MENSAL — PAGAMENTO POR FUNCIONÁRIO</t>
        </is>
      </c>
      <c r="B1" s="2" t="n"/>
      <c r="C1" s="2" t="n"/>
      <c r="D1" s="2" t="n"/>
      <c r="E1" s="2" t="n"/>
      <c r="F1" s="2" t="n"/>
    </row>
    <row r="2" ht="28" customHeight="1">
      <c r="A2" s="8" t="inlineStr">
        <is>
          <t>Mês/Ano:</t>
        </is>
      </c>
      <c r="C2" s="23">
        <f>'Registro Diário'!C2</f>
        <v/>
      </c>
    </row>
    <row r="4" ht="30" customHeight="1">
      <c r="A4" s="3" t="inlineStr">
        <is>
          <t>Nº</t>
        </is>
      </c>
      <c r="B4" s="3" t="inlineStr">
        <is>
          <t>Funcionário</t>
        </is>
      </c>
      <c r="C4" s="3" t="inlineStr">
        <is>
          <t>Cargo</t>
        </is>
      </c>
      <c r="D4" s="3" t="inlineStr">
        <is>
          <t>Dias Trabalhados</t>
        </is>
      </c>
      <c r="E4" s="3" t="inlineStr">
        <is>
          <t>Valor Diária</t>
        </is>
      </c>
      <c r="F4" s="3" t="inlineStr">
        <is>
          <t>Total a Receber</t>
        </is>
      </c>
    </row>
    <row r="5" ht="22" customHeight="1">
      <c r="A5" s="10" t="n">
        <v>1</v>
      </c>
      <c r="B5" s="12" t="n"/>
      <c r="C5" s="13" t="n"/>
      <c r="D5" s="24">
        <f>IF(B5="","",COUNTIFS('Registro Diário'!C$5:C$204,B5,'Registro Diário'!D$5:D$204,C5))</f>
        <v/>
      </c>
      <c r="E5" s="14">
        <f>IF(C5="","",VLOOKUP(C5,Configuração!B5:C6,2,FALSE))</f>
        <v/>
      </c>
      <c r="F5" s="25">
        <f>IF(B5="","",D5*E5)</f>
        <v/>
      </c>
    </row>
    <row r="6" ht="22" customHeight="1">
      <c r="A6" s="15" t="n">
        <v>2</v>
      </c>
      <c r="B6" s="17" t="n"/>
      <c r="C6" s="18" t="n"/>
      <c r="D6" s="26">
        <f>IF(B6="","",COUNTIFS('Registro Diário'!C$5:C$204,B6,'Registro Diário'!D$5:D$204,C6))</f>
        <v/>
      </c>
      <c r="E6" s="19">
        <f>IF(C6="","",VLOOKUP(C6,Configuração!B5:C6,2,FALSE))</f>
        <v/>
      </c>
      <c r="F6" s="27">
        <f>IF(B6="","",D6*E6)</f>
        <v/>
      </c>
    </row>
    <row r="7" ht="22" customHeight="1">
      <c r="A7" s="10" t="n">
        <v>3</v>
      </c>
      <c r="B7" s="12" t="n"/>
      <c r="C7" s="13" t="n"/>
      <c r="D7" s="24">
        <f>IF(B7="","",COUNTIFS('Registro Diário'!C$5:C$204,B7,'Registro Diário'!D$5:D$204,C7))</f>
        <v/>
      </c>
      <c r="E7" s="14">
        <f>IF(C7="","",VLOOKUP(C7,Configuração!B5:C6,2,FALSE))</f>
        <v/>
      </c>
      <c r="F7" s="25">
        <f>IF(B7="","",D7*E7)</f>
        <v/>
      </c>
    </row>
    <row r="8" ht="22" customHeight="1">
      <c r="A8" s="15" t="n">
        <v>4</v>
      </c>
      <c r="B8" s="17" t="n"/>
      <c r="C8" s="18" t="n"/>
      <c r="D8" s="26">
        <f>IF(B8="","",COUNTIFS('Registro Diário'!C$5:C$204,B8,'Registro Diário'!D$5:D$204,C8))</f>
        <v/>
      </c>
      <c r="E8" s="19">
        <f>IF(C8="","",VLOOKUP(C8,Configuração!B5:C6,2,FALSE))</f>
        <v/>
      </c>
      <c r="F8" s="27">
        <f>IF(B8="","",D8*E8)</f>
        <v/>
      </c>
    </row>
    <row r="9" ht="22" customHeight="1">
      <c r="A9" s="10" t="n">
        <v>5</v>
      </c>
      <c r="B9" s="12" t="n"/>
      <c r="C9" s="13" t="n"/>
      <c r="D9" s="24">
        <f>IF(B9="","",COUNTIFS('Registro Diário'!C$5:C$204,B9,'Registro Diário'!D$5:D$204,C9))</f>
        <v/>
      </c>
      <c r="E9" s="14">
        <f>IF(C9="","",VLOOKUP(C9,Configuração!B5:C6,2,FALSE))</f>
        <v/>
      </c>
      <c r="F9" s="25">
        <f>IF(B9="","",D9*E9)</f>
        <v/>
      </c>
    </row>
    <row r="10" ht="22" customHeight="1">
      <c r="A10" s="15" t="n">
        <v>6</v>
      </c>
      <c r="B10" s="17" t="n"/>
      <c r="C10" s="18" t="n"/>
      <c r="D10" s="26">
        <f>IF(B10="","",COUNTIFS('Registro Diário'!C$5:C$204,B10,'Registro Diário'!D$5:D$204,C10))</f>
        <v/>
      </c>
      <c r="E10" s="19">
        <f>IF(C10="","",VLOOKUP(C10,Configuração!B5:C6,2,FALSE))</f>
        <v/>
      </c>
      <c r="F10" s="27">
        <f>IF(B10="","",D10*E10)</f>
        <v/>
      </c>
    </row>
    <row r="11" ht="22" customHeight="1">
      <c r="A11" s="10" t="n">
        <v>7</v>
      </c>
      <c r="B11" s="12" t="n"/>
      <c r="C11" s="13" t="n"/>
      <c r="D11" s="24">
        <f>IF(B11="","",COUNTIFS('Registro Diário'!C$5:C$204,B11,'Registro Diário'!D$5:D$204,C11))</f>
        <v/>
      </c>
      <c r="E11" s="14">
        <f>IF(C11="","",VLOOKUP(C11,Configuração!B5:C6,2,FALSE))</f>
        <v/>
      </c>
      <c r="F11" s="25">
        <f>IF(B11="","",D11*E11)</f>
        <v/>
      </c>
    </row>
    <row r="12" ht="22" customHeight="1">
      <c r="A12" s="15" t="n">
        <v>8</v>
      </c>
      <c r="B12" s="17" t="n"/>
      <c r="C12" s="18" t="n"/>
      <c r="D12" s="26">
        <f>IF(B12="","",COUNTIFS('Registro Diário'!C$5:C$204,B12,'Registro Diário'!D$5:D$204,C12))</f>
        <v/>
      </c>
      <c r="E12" s="19">
        <f>IF(C12="","",VLOOKUP(C12,Configuração!B5:C6,2,FALSE))</f>
        <v/>
      </c>
      <c r="F12" s="27">
        <f>IF(B12="","",D12*E12)</f>
        <v/>
      </c>
    </row>
    <row r="13" ht="22" customHeight="1">
      <c r="A13" s="10" t="n">
        <v>9</v>
      </c>
      <c r="B13" s="12" t="n"/>
      <c r="C13" s="13" t="n"/>
      <c r="D13" s="24">
        <f>IF(B13="","",COUNTIFS('Registro Diário'!C$5:C$204,B13,'Registro Diário'!D$5:D$204,C13))</f>
        <v/>
      </c>
      <c r="E13" s="14">
        <f>IF(C13="","",VLOOKUP(C13,Configuração!B5:C6,2,FALSE))</f>
        <v/>
      </c>
      <c r="F13" s="25">
        <f>IF(B13="","",D13*E13)</f>
        <v/>
      </c>
    </row>
    <row r="14" ht="22" customHeight="1">
      <c r="A14" s="15" t="n">
        <v>10</v>
      </c>
      <c r="B14" s="17" t="n"/>
      <c r="C14" s="18" t="n"/>
      <c r="D14" s="26">
        <f>IF(B14="","",COUNTIFS('Registro Diário'!C$5:C$204,B14,'Registro Diário'!D$5:D$204,C14))</f>
        <v/>
      </c>
      <c r="E14" s="19">
        <f>IF(C14="","",VLOOKUP(C14,Configuração!B5:C6,2,FALSE))</f>
        <v/>
      </c>
      <c r="F14" s="27">
        <f>IF(B14="","",D14*E14)</f>
        <v/>
      </c>
    </row>
    <row r="15" ht="22" customHeight="1">
      <c r="A15" s="10" t="n">
        <v>11</v>
      </c>
      <c r="B15" s="12" t="n"/>
      <c r="C15" s="13" t="n"/>
      <c r="D15" s="24">
        <f>IF(B15="","",COUNTIFS('Registro Diário'!C$5:C$204,B15,'Registro Diário'!D$5:D$204,C15))</f>
        <v/>
      </c>
      <c r="E15" s="14">
        <f>IF(C15="","",VLOOKUP(C15,Configuração!B5:C6,2,FALSE))</f>
        <v/>
      </c>
      <c r="F15" s="25">
        <f>IF(B15="","",D15*E15)</f>
        <v/>
      </c>
    </row>
    <row r="16" ht="22" customHeight="1">
      <c r="A16" s="15" t="n">
        <v>12</v>
      </c>
      <c r="B16" s="17" t="n"/>
      <c r="C16" s="18" t="n"/>
      <c r="D16" s="26">
        <f>IF(B16="","",COUNTIFS('Registro Diário'!C$5:C$204,B16,'Registro Diário'!D$5:D$204,C16))</f>
        <v/>
      </c>
      <c r="E16" s="19">
        <f>IF(C16="","",VLOOKUP(C16,Configuração!B5:C6,2,FALSE))</f>
        <v/>
      </c>
      <c r="F16" s="27">
        <f>IF(B16="","",D16*E16)</f>
        <v/>
      </c>
    </row>
    <row r="17" ht="22" customHeight="1">
      <c r="A17" s="10" t="n">
        <v>13</v>
      </c>
      <c r="B17" s="12" t="n"/>
      <c r="C17" s="13" t="n"/>
      <c r="D17" s="24">
        <f>IF(B17="","",COUNTIFS('Registro Diário'!C$5:C$204,B17,'Registro Diário'!D$5:D$204,C17))</f>
        <v/>
      </c>
      <c r="E17" s="14">
        <f>IF(C17="","",VLOOKUP(C17,Configuração!B5:C6,2,FALSE))</f>
        <v/>
      </c>
      <c r="F17" s="25">
        <f>IF(B17="","",D17*E17)</f>
        <v/>
      </c>
    </row>
    <row r="18" ht="22" customHeight="1">
      <c r="A18" s="15" t="n">
        <v>14</v>
      </c>
      <c r="B18" s="17" t="n"/>
      <c r="C18" s="18" t="n"/>
      <c r="D18" s="26">
        <f>IF(B18="","",COUNTIFS('Registro Diário'!C$5:C$204,B18,'Registro Diário'!D$5:D$204,C18))</f>
        <v/>
      </c>
      <c r="E18" s="19">
        <f>IF(C18="","",VLOOKUP(C18,Configuração!B5:C6,2,FALSE))</f>
        <v/>
      </c>
      <c r="F18" s="27">
        <f>IF(B18="","",D18*E18)</f>
        <v/>
      </c>
    </row>
    <row r="19" ht="22" customHeight="1">
      <c r="A19" s="10" t="n">
        <v>15</v>
      </c>
      <c r="B19" s="12" t="n"/>
      <c r="C19" s="13" t="n"/>
      <c r="D19" s="24">
        <f>IF(B19="","",COUNTIFS('Registro Diário'!C$5:C$204,B19,'Registro Diário'!D$5:D$204,C19))</f>
        <v/>
      </c>
      <c r="E19" s="14">
        <f>IF(C19="","",VLOOKUP(C19,Configuração!B5:C6,2,FALSE))</f>
        <v/>
      </c>
      <c r="F19" s="25">
        <f>IF(B19="","",D19*E19)</f>
        <v/>
      </c>
    </row>
    <row r="20" ht="22" customHeight="1">
      <c r="A20" s="15" t="n">
        <v>16</v>
      </c>
      <c r="B20" s="17" t="n"/>
      <c r="C20" s="18" t="n"/>
      <c r="D20" s="26">
        <f>IF(B20="","",COUNTIFS('Registro Diário'!C$5:C$204,B20,'Registro Diário'!D$5:D$204,C20))</f>
        <v/>
      </c>
      <c r="E20" s="19">
        <f>IF(C20="","",VLOOKUP(C20,Configuração!B5:C6,2,FALSE))</f>
        <v/>
      </c>
      <c r="F20" s="27">
        <f>IF(B20="","",D20*E20)</f>
        <v/>
      </c>
    </row>
    <row r="21" ht="22" customHeight="1">
      <c r="A21" s="10" t="n">
        <v>17</v>
      </c>
      <c r="B21" s="12" t="n"/>
      <c r="C21" s="13" t="n"/>
      <c r="D21" s="24">
        <f>IF(B21="","",COUNTIFS('Registro Diário'!C$5:C$204,B21,'Registro Diário'!D$5:D$204,C21))</f>
        <v/>
      </c>
      <c r="E21" s="14">
        <f>IF(C21="","",VLOOKUP(C21,Configuração!B5:C6,2,FALSE))</f>
        <v/>
      </c>
      <c r="F21" s="25">
        <f>IF(B21="","",D21*E21)</f>
        <v/>
      </c>
    </row>
    <row r="22" ht="22" customHeight="1">
      <c r="A22" s="15" t="n">
        <v>18</v>
      </c>
      <c r="B22" s="17" t="n"/>
      <c r="C22" s="18" t="n"/>
      <c r="D22" s="26">
        <f>IF(B22="","",COUNTIFS('Registro Diário'!C$5:C$204,B22,'Registro Diário'!D$5:D$204,C22))</f>
        <v/>
      </c>
      <c r="E22" s="19">
        <f>IF(C22="","",VLOOKUP(C22,Configuração!B5:C6,2,FALSE))</f>
        <v/>
      </c>
      <c r="F22" s="27">
        <f>IF(B22="","",D22*E22)</f>
        <v/>
      </c>
    </row>
    <row r="23" ht="22" customHeight="1">
      <c r="A23" s="10" t="n">
        <v>19</v>
      </c>
      <c r="B23" s="12" t="n"/>
      <c r="C23" s="13" t="n"/>
      <c r="D23" s="24">
        <f>IF(B23="","",COUNTIFS('Registro Diário'!C$5:C$204,B23,'Registro Diário'!D$5:D$204,C23))</f>
        <v/>
      </c>
      <c r="E23" s="14">
        <f>IF(C23="","",VLOOKUP(C23,Configuração!B5:C6,2,FALSE))</f>
        <v/>
      </c>
      <c r="F23" s="25">
        <f>IF(B23="","",D23*E23)</f>
        <v/>
      </c>
    </row>
    <row r="24" ht="22" customHeight="1">
      <c r="A24" s="15" t="n">
        <v>20</v>
      </c>
      <c r="B24" s="17" t="n"/>
      <c r="C24" s="18" t="n"/>
      <c r="D24" s="26">
        <f>IF(B24="","",COUNTIFS('Registro Diário'!C$5:C$204,B24,'Registro Diário'!D$5:D$204,C24))</f>
        <v/>
      </c>
      <c r="E24" s="19">
        <f>IF(C24="","",VLOOKUP(C24,Configuração!B5:C6,2,FALSE))</f>
        <v/>
      </c>
      <c r="F24" s="27">
        <f>IF(B24="","",D24*E24)</f>
        <v/>
      </c>
    </row>
    <row r="25" ht="22" customHeight="1">
      <c r="A25" s="10" t="n">
        <v>21</v>
      </c>
      <c r="B25" s="12" t="n"/>
      <c r="C25" s="13" t="n"/>
      <c r="D25" s="24">
        <f>IF(B25="","",COUNTIFS('Registro Diário'!C$5:C$204,B25,'Registro Diário'!D$5:D$204,C25))</f>
        <v/>
      </c>
      <c r="E25" s="14">
        <f>IF(C25="","",VLOOKUP(C25,Configuração!B5:C6,2,FALSE))</f>
        <v/>
      </c>
      <c r="F25" s="25">
        <f>IF(B25="","",D25*E25)</f>
        <v/>
      </c>
    </row>
    <row r="26" ht="22" customHeight="1">
      <c r="A26" s="15" t="n">
        <v>22</v>
      </c>
      <c r="B26" s="17" t="n"/>
      <c r="C26" s="18" t="n"/>
      <c r="D26" s="26">
        <f>IF(B26="","",COUNTIFS('Registro Diário'!C$5:C$204,B26,'Registro Diário'!D$5:D$204,C26))</f>
        <v/>
      </c>
      <c r="E26" s="19">
        <f>IF(C26="","",VLOOKUP(C26,Configuração!B5:C6,2,FALSE))</f>
        <v/>
      </c>
      <c r="F26" s="27">
        <f>IF(B26="","",D26*E26)</f>
        <v/>
      </c>
    </row>
    <row r="27" ht="22" customHeight="1">
      <c r="A27" s="10" t="n">
        <v>23</v>
      </c>
      <c r="B27" s="12" t="n"/>
      <c r="C27" s="13" t="n"/>
      <c r="D27" s="24">
        <f>IF(B27="","",COUNTIFS('Registro Diário'!C$5:C$204,B27,'Registro Diário'!D$5:D$204,C27))</f>
        <v/>
      </c>
      <c r="E27" s="14">
        <f>IF(C27="","",VLOOKUP(C27,Configuração!B5:C6,2,FALSE))</f>
        <v/>
      </c>
      <c r="F27" s="25">
        <f>IF(B27="","",D27*E27)</f>
        <v/>
      </c>
    </row>
    <row r="28" ht="22" customHeight="1">
      <c r="A28" s="15" t="n">
        <v>24</v>
      </c>
      <c r="B28" s="17" t="n"/>
      <c r="C28" s="18" t="n"/>
      <c r="D28" s="26">
        <f>IF(B28="","",COUNTIFS('Registro Diário'!C$5:C$204,B28,'Registro Diário'!D$5:D$204,C28))</f>
        <v/>
      </c>
      <c r="E28" s="19">
        <f>IF(C28="","",VLOOKUP(C28,Configuração!B5:C6,2,FALSE))</f>
        <v/>
      </c>
      <c r="F28" s="27">
        <f>IF(B28="","",D28*E28)</f>
        <v/>
      </c>
    </row>
    <row r="29" ht="22" customHeight="1">
      <c r="A29" s="10" t="n">
        <v>25</v>
      </c>
      <c r="B29" s="12" t="n"/>
      <c r="C29" s="13" t="n"/>
      <c r="D29" s="24">
        <f>IF(B29="","",COUNTIFS('Registro Diário'!C$5:C$204,B29,'Registro Diário'!D$5:D$204,C29))</f>
        <v/>
      </c>
      <c r="E29" s="14">
        <f>IF(C29="","",VLOOKUP(C29,Configuração!B5:C6,2,FALSE))</f>
        <v/>
      </c>
      <c r="F29" s="25">
        <f>IF(B29="","",D29*E29)</f>
        <v/>
      </c>
    </row>
    <row r="30" ht="22" customHeight="1">
      <c r="A30" s="15" t="n">
        <v>26</v>
      </c>
      <c r="B30" s="17" t="n"/>
      <c r="C30" s="18" t="n"/>
      <c r="D30" s="26">
        <f>IF(B30="","",COUNTIFS('Registro Diário'!C$5:C$204,B30,'Registro Diário'!D$5:D$204,C30))</f>
        <v/>
      </c>
      <c r="E30" s="19">
        <f>IF(C30="","",VLOOKUP(C30,Configuração!B5:C6,2,FALSE))</f>
        <v/>
      </c>
      <c r="F30" s="27">
        <f>IF(B30="","",D30*E30)</f>
        <v/>
      </c>
    </row>
    <row r="31" ht="22" customHeight="1">
      <c r="A31" s="10" t="n">
        <v>27</v>
      </c>
      <c r="B31" s="12" t="n"/>
      <c r="C31" s="13" t="n"/>
      <c r="D31" s="24">
        <f>IF(B31="","",COUNTIFS('Registro Diário'!C$5:C$204,B31,'Registro Diário'!D$5:D$204,C31))</f>
        <v/>
      </c>
      <c r="E31" s="14">
        <f>IF(C31="","",VLOOKUP(C31,Configuração!B5:C6,2,FALSE))</f>
        <v/>
      </c>
      <c r="F31" s="25">
        <f>IF(B31="","",D31*E31)</f>
        <v/>
      </c>
    </row>
    <row r="32" ht="22" customHeight="1">
      <c r="A32" s="15" t="n">
        <v>28</v>
      </c>
      <c r="B32" s="17" t="n"/>
      <c r="C32" s="18" t="n"/>
      <c r="D32" s="26">
        <f>IF(B32="","",COUNTIFS('Registro Diário'!C$5:C$204,B32,'Registro Diário'!D$5:D$204,C32))</f>
        <v/>
      </c>
      <c r="E32" s="19">
        <f>IF(C32="","",VLOOKUP(C32,Configuração!B5:C6,2,FALSE))</f>
        <v/>
      </c>
      <c r="F32" s="27">
        <f>IF(B32="","",D32*E32)</f>
        <v/>
      </c>
    </row>
    <row r="33" ht="22" customHeight="1">
      <c r="A33" s="10" t="n">
        <v>29</v>
      </c>
      <c r="B33" s="12" t="n"/>
      <c r="C33" s="13" t="n"/>
      <c r="D33" s="24">
        <f>IF(B33="","",COUNTIFS('Registro Diário'!C$5:C$204,B33,'Registro Diário'!D$5:D$204,C33))</f>
        <v/>
      </c>
      <c r="E33" s="14">
        <f>IF(C33="","",VLOOKUP(C33,Configuração!B5:C6,2,FALSE))</f>
        <v/>
      </c>
      <c r="F33" s="25">
        <f>IF(B33="","",D33*E33)</f>
        <v/>
      </c>
    </row>
    <row r="34" ht="22" customHeight="1">
      <c r="A34" s="15" t="n">
        <v>30</v>
      </c>
      <c r="B34" s="17" t="n"/>
      <c r="C34" s="18" t="n"/>
      <c r="D34" s="26">
        <f>IF(B34="","",COUNTIFS('Registro Diário'!C$5:C$204,B34,'Registro Diário'!D$5:D$204,C34))</f>
        <v/>
      </c>
      <c r="E34" s="19">
        <f>IF(C34="","",VLOOKUP(C34,Configuração!B5:C6,2,FALSE))</f>
        <v/>
      </c>
      <c r="F34" s="27">
        <f>IF(B34="","",D34*E34)</f>
        <v/>
      </c>
    </row>
    <row r="35" ht="22" customHeight="1">
      <c r="A35" s="10" t="n">
        <v>31</v>
      </c>
      <c r="B35" s="12" t="n"/>
      <c r="C35" s="13" t="n"/>
      <c r="D35" s="24">
        <f>IF(B35="","",COUNTIFS('Registro Diário'!C$5:C$204,B35,'Registro Diário'!D$5:D$204,C35))</f>
        <v/>
      </c>
      <c r="E35" s="14">
        <f>IF(C35="","",VLOOKUP(C35,Configuração!B5:C6,2,FALSE))</f>
        <v/>
      </c>
      <c r="F35" s="25">
        <f>IF(B35="","",D35*E35)</f>
        <v/>
      </c>
    </row>
    <row r="36" ht="22" customHeight="1">
      <c r="A36" s="15" t="n">
        <v>32</v>
      </c>
      <c r="B36" s="17" t="n"/>
      <c r="C36" s="18" t="n"/>
      <c r="D36" s="26">
        <f>IF(B36="","",COUNTIFS('Registro Diário'!C$5:C$204,B36,'Registro Diário'!D$5:D$204,C36))</f>
        <v/>
      </c>
      <c r="E36" s="19">
        <f>IF(C36="","",VLOOKUP(C36,Configuração!B5:C6,2,FALSE))</f>
        <v/>
      </c>
      <c r="F36" s="27">
        <f>IF(B36="","",D36*E36)</f>
        <v/>
      </c>
    </row>
    <row r="37" ht="22" customHeight="1">
      <c r="A37" s="10" t="n">
        <v>33</v>
      </c>
      <c r="B37" s="12" t="n"/>
      <c r="C37" s="13" t="n"/>
      <c r="D37" s="24">
        <f>IF(B37="","",COUNTIFS('Registro Diário'!C$5:C$204,B37,'Registro Diário'!D$5:D$204,C37))</f>
        <v/>
      </c>
      <c r="E37" s="14">
        <f>IF(C37="","",VLOOKUP(C37,Configuração!B5:C6,2,FALSE))</f>
        <v/>
      </c>
      <c r="F37" s="25">
        <f>IF(B37="","",D37*E37)</f>
        <v/>
      </c>
    </row>
    <row r="38" ht="22" customHeight="1">
      <c r="A38" s="15" t="n">
        <v>34</v>
      </c>
      <c r="B38" s="17" t="n"/>
      <c r="C38" s="18" t="n"/>
      <c r="D38" s="26">
        <f>IF(B38="","",COUNTIFS('Registro Diário'!C$5:C$204,B38,'Registro Diário'!D$5:D$204,C38))</f>
        <v/>
      </c>
      <c r="E38" s="19">
        <f>IF(C38="","",VLOOKUP(C38,Configuração!B5:C6,2,FALSE))</f>
        <v/>
      </c>
      <c r="F38" s="27">
        <f>IF(B38="","",D38*E38)</f>
        <v/>
      </c>
    </row>
    <row r="39" ht="22" customHeight="1">
      <c r="A39" s="10" t="n">
        <v>35</v>
      </c>
      <c r="B39" s="12" t="n"/>
      <c r="C39" s="13" t="n"/>
      <c r="D39" s="24">
        <f>IF(B39="","",COUNTIFS('Registro Diário'!C$5:C$204,B39,'Registro Diário'!D$5:D$204,C39))</f>
        <v/>
      </c>
      <c r="E39" s="14">
        <f>IF(C39="","",VLOOKUP(C39,Configuração!B5:C6,2,FALSE))</f>
        <v/>
      </c>
      <c r="F39" s="25">
        <f>IF(B39="","",D39*E39)</f>
        <v/>
      </c>
    </row>
    <row r="40" ht="22" customHeight="1">
      <c r="A40" s="15" t="n">
        <v>36</v>
      </c>
      <c r="B40" s="17" t="n"/>
      <c r="C40" s="18" t="n"/>
      <c r="D40" s="26">
        <f>IF(B40="","",COUNTIFS('Registro Diário'!C$5:C$204,B40,'Registro Diário'!D$5:D$204,C40))</f>
        <v/>
      </c>
      <c r="E40" s="19">
        <f>IF(C40="","",VLOOKUP(C40,Configuração!B5:C6,2,FALSE))</f>
        <v/>
      </c>
      <c r="F40" s="27">
        <f>IF(B40="","",D40*E40)</f>
        <v/>
      </c>
    </row>
    <row r="41" ht="22" customHeight="1">
      <c r="A41" s="10" t="n">
        <v>37</v>
      </c>
      <c r="B41" s="12" t="n"/>
      <c r="C41" s="13" t="n"/>
      <c r="D41" s="24">
        <f>IF(B41="","",COUNTIFS('Registro Diário'!C$5:C$204,B41,'Registro Diário'!D$5:D$204,C41))</f>
        <v/>
      </c>
      <c r="E41" s="14">
        <f>IF(C41="","",VLOOKUP(C41,Configuração!B5:C6,2,FALSE))</f>
        <v/>
      </c>
      <c r="F41" s="25">
        <f>IF(B41="","",D41*E41)</f>
        <v/>
      </c>
    </row>
    <row r="42" ht="22" customHeight="1">
      <c r="A42" s="15" t="n">
        <v>38</v>
      </c>
      <c r="B42" s="17" t="n"/>
      <c r="C42" s="18" t="n"/>
      <c r="D42" s="26">
        <f>IF(B42="","",COUNTIFS('Registro Diário'!C$5:C$204,B42,'Registro Diário'!D$5:D$204,C42))</f>
        <v/>
      </c>
      <c r="E42" s="19">
        <f>IF(C42="","",VLOOKUP(C42,Configuração!B5:C6,2,FALSE))</f>
        <v/>
      </c>
      <c r="F42" s="27">
        <f>IF(B42="","",D42*E42)</f>
        <v/>
      </c>
    </row>
    <row r="43" ht="22" customHeight="1">
      <c r="A43" s="10" t="n">
        <v>39</v>
      </c>
      <c r="B43" s="12" t="n"/>
      <c r="C43" s="13" t="n"/>
      <c r="D43" s="24">
        <f>IF(B43="","",COUNTIFS('Registro Diário'!C$5:C$204,B43,'Registro Diário'!D$5:D$204,C43))</f>
        <v/>
      </c>
      <c r="E43" s="14">
        <f>IF(C43="","",VLOOKUP(C43,Configuração!B5:C6,2,FALSE))</f>
        <v/>
      </c>
      <c r="F43" s="25">
        <f>IF(B43="","",D43*E43)</f>
        <v/>
      </c>
    </row>
    <row r="44" ht="22" customHeight="1">
      <c r="A44" s="15" t="n">
        <v>40</v>
      </c>
      <c r="B44" s="17" t="n"/>
      <c r="C44" s="18" t="n"/>
      <c r="D44" s="26">
        <f>IF(B44="","",COUNTIFS('Registro Diário'!C$5:C$204,B44,'Registro Diário'!D$5:D$204,C44))</f>
        <v/>
      </c>
      <c r="E44" s="19">
        <f>IF(C44="","",VLOOKUP(C44,Configuração!B5:C6,2,FALSE))</f>
        <v/>
      </c>
      <c r="F44" s="27">
        <f>IF(B44="","",D44*E44)</f>
        <v/>
      </c>
    </row>
    <row r="45" ht="22" customHeight="1">
      <c r="A45" s="10" t="n">
        <v>41</v>
      </c>
      <c r="B45" s="12" t="n"/>
      <c r="C45" s="13" t="n"/>
      <c r="D45" s="24">
        <f>IF(B45="","",COUNTIFS('Registro Diário'!C$5:C$204,B45,'Registro Diário'!D$5:D$204,C45))</f>
        <v/>
      </c>
      <c r="E45" s="14">
        <f>IF(C45="","",VLOOKUP(C45,Configuração!B5:C6,2,FALSE))</f>
        <v/>
      </c>
      <c r="F45" s="25">
        <f>IF(B45="","",D45*E45)</f>
        <v/>
      </c>
    </row>
    <row r="46" ht="22" customHeight="1">
      <c r="A46" s="15" t="n">
        <v>42</v>
      </c>
      <c r="B46" s="17" t="n"/>
      <c r="C46" s="18" t="n"/>
      <c r="D46" s="26">
        <f>IF(B46="","",COUNTIFS('Registro Diário'!C$5:C$204,B46,'Registro Diário'!D$5:D$204,C46))</f>
        <v/>
      </c>
      <c r="E46" s="19">
        <f>IF(C46="","",VLOOKUP(C46,Configuração!B5:C6,2,FALSE))</f>
        <v/>
      </c>
      <c r="F46" s="27">
        <f>IF(B46="","",D46*E46)</f>
        <v/>
      </c>
    </row>
    <row r="47" ht="22" customHeight="1">
      <c r="A47" s="10" t="n">
        <v>43</v>
      </c>
      <c r="B47" s="12" t="n"/>
      <c r="C47" s="13" t="n"/>
      <c r="D47" s="24">
        <f>IF(B47="","",COUNTIFS('Registro Diário'!C$5:C$204,B47,'Registro Diário'!D$5:D$204,C47))</f>
        <v/>
      </c>
      <c r="E47" s="14">
        <f>IF(C47="","",VLOOKUP(C47,Configuração!B5:C6,2,FALSE))</f>
        <v/>
      </c>
      <c r="F47" s="25">
        <f>IF(B47="","",D47*E47)</f>
        <v/>
      </c>
    </row>
    <row r="48" ht="22" customHeight="1">
      <c r="A48" s="15" t="n">
        <v>44</v>
      </c>
      <c r="B48" s="17" t="n"/>
      <c r="C48" s="18" t="n"/>
      <c r="D48" s="26">
        <f>IF(B48="","",COUNTIFS('Registro Diário'!C$5:C$204,B48,'Registro Diário'!D$5:D$204,C48))</f>
        <v/>
      </c>
      <c r="E48" s="19">
        <f>IF(C48="","",VLOOKUP(C48,Configuração!B5:C6,2,FALSE))</f>
        <v/>
      </c>
      <c r="F48" s="27">
        <f>IF(B48="","",D48*E48)</f>
        <v/>
      </c>
    </row>
    <row r="49" ht="22" customHeight="1">
      <c r="A49" s="10" t="n">
        <v>45</v>
      </c>
      <c r="B49" s="12" t="n"/>
      <c r="C49" s="13" t="n"/>
      <c r="D49" s="24">
        <f>IF(B49="","",COUNTIFS('Registro Diário'!C$5:C$204,B49,'Registro Diário'!D$5:D$204,C49))</f>
        <v/>
      </c>
      <c r="E49" s="14">
        <f>IF(C49="","",VLOOKUP(C49,Configuração!B5:C6,2,FALSE))</f>
        <v/>
      </c>
      <c r="F49" s="25">
        <f>IF(B49="","",D49*E49)</f>
        <v/>
      </c>
    </row>
    <row r="50" ht="22" customHeight="1">
      <c r="A50" s="15" t="n">
        <v>46</v>
      </c>
      <c r="B50" s="17" t="n"/>
      <c r="C50" s="18" t="n"/>
      <c r="D50" s="26">
        <f>IF(B50="","",COUNTIFS('Registro Diário'!C$5:C$204,B50,'Registro Diário'!D$5:D$204,C50))</f>
        <v/>
      </c>
      <c r="E50" s="19">
        <f>IF(C50="","",VLOOKUP(C50,Configuração!B5:C6,2,FALSE))</f>
        <v/>
      </c>
      <c r="F50" s="27">
        <f>IF(B50="","",D50*E50)</f>
        <v/>
      </c>
    </row>
    <row r="51" ht="22" customHeight="1">
      <c r="A51" s="10" t="n">
        <v>47</v>
      </c>
      <c r="B51" s="12" t="n"/>
      <c r="C51" s="13" t="n"/>
      <c r="D51" s="24">
        <f>IF(B51="","",COUNTIFS('Registro Diário'!C$5:C$204,B51,'Registro Diário'!D$5:D$204,C51))</f>
        <v/>
      </c>
      <c r="E51" s="14">
        <f>IF(C51="","",VLOOKUP(C51,Configuração!B5:C6,2,FALSE))</f>
        <v/>
      </c>
      <c r="F51" s="25">
        <f>IF(B51="","",D51*E51)</f>
        <v/>
      </c>
    </row>
    <row r="52" ht="22" customHeight="1">
      <c r="A52" s="15" t="n">
        <v>48</v>
      </c>
      <c r="B52" s="17" t="n"/>
      <c r="C52" s="18" t="n"/>
      <c r="D52" s="26">
        <f>IF(B52="","",COUNTIFS('Registro Diário'!C$5:C$204,B52,'Registro Diário'!D$5:D$204,C52))</f>
        <v/>
      </c>
      <c r="E52" s="19">
        <f>IF(C52="","",VLOOKUP(C52,Configuração!B5:C6,2,FALSE))</f>
        <v/>
      </c>
      <c r="F52" s="27">
        <f>IF(B52="","",D52*E52)</f>
        <v/>
      </c>
    </row>
    <row r="53" ht="22" customHeight="1">
      <c r="A53" s="10" t="n">
        <v>49</v>
      </c>
      <c r="B53" s="12" t="n"/>
      <c r="C53" s="13" t="n"/>
      <c r="D53" s="24">
        <f>IF(B53="","",COUNTIFS('Registro Diário'!C$5:C$204,B53,'Registro Diário'!D$5:D$204,C53))</f>
        <v/>
      </c>
      <c r="E53" s="14">
        <f>IF(C53="","",VLOOKUP(C53,Configuração!B5:C6,2,FALSE))</f>
        <v/>
      </c>
      <c r="F53" s="25">
        <f>IF(B53="","",D53*E53)</f>
        <v/>
      </c>
    </row>
    <row r="54" ht="22" customHeight="1">
      <c r="A54" s="15" t="n">
        <v>50</v>
      </c>
      <c r="B54" s="17" t="n"/>
      <c r="C54" s="18" t="n"/>
      <c r="D54" s="26">
        <f>IF(B54="","",COUNTIFS('Registro Diário'!C$5:C$204,B54,'Registro Diário'!D$5:D$204,C54))</f>
        <v/>
      </c>
      <c r="E54" s="19">
        <f>IF(C54="","",VLOOKUP(C54,Configuração!B5:C6,2,FALSE))</f>
        <v/>
      </c>
      <c r="F54" s="27">
        <f>IF(B54="","",D54*E54)</f>
        <v/>
      </c>
    </row>
    <row r="55">
      <c r="A55" s="20" t="inlineStr">
        <is>
          <t>TOTAL GERAL</t>
        </is>
      </c>
      <c r="B55" s="21" t="n"/>
      <c r="C55" s="21" t="n"/>
      <c r="D55" s="28">
        <f>SUM(D5:D54)</f>
        <v/>
      </c>
      <c r="E55" s="21" t="n"/>
      <c r="F55" s="22">
        <f>SUM(F5:F54)</f>
        <v/>
      </c>
    </row>
    <row r="57">
      <c r="A57" s="29" t="inlineStr">
        <is>
          <t>SUBTOTAIS POR CARGO</t>
        </is>
      </c>
      <c r="B57" s="30" t="n"/>
      <c r="C57" s="30" t="n"/>
      <c r="D57" s="30" t="n"/>
      <c r="E57" s="30" t="n"/>
      <c r="F57" s="30" t="n"/>
    </row>
    <row r="58" ht="24" customHeight="1">
      <c r="A58" s="31" t="inlineStr">
        <is>
          <t>Total Motoristas</t>
        </is>
      </c>
      <c r="B58" s="32" t="n"/>
      <c r="C58" s="32" t="n"/>
      <c r="D58" s="33">
        <f>SUMPRODUCT((C5:C54="Motorista")*(D5:D54))</f>
        <v/>
      </c>
      <c r="E58" s="32" t="n"/>
      <c r="F58" s="34">
        <f>SUMPRODUCT((C5:C54="Motorista")*(F5:F54))</f>
        <v/>
      </c>
    </row>
    <row r="59" ht="24" customHeight="1">
      <c r="A59" s="31" t="inlineStr">
        <is>
          <t>Total Ajudantes</t>
        </is>
      </c>
      <c r="B59" s="32" t="n"/>
      <c r="C59" s="32" t="n"/>
      <c r="D59" s="33">
        <f>SUMPRODUCT((C5:C54="Ajudante")*(D5:D54))</f>
        <v/>
      </c>
      <c r="E59" s="32" t="n"/>
      <c r="F59" s="34">
        <f>SUMPRODUCT((C5:C54="Ajudante")*(F5:F54))</f>
        <v/>
      </c>
    </row>
  </sheetData>
  <autoFilter ref="A4:F54"/>
  <mergeCells count="6">
    <mergeCell ref="A2:B2"/>
    <mergeCell ref="A1:F1"/>
    <mergeCell ref="A58:C58"/>
    <mergeCell ref="A55:C55"/>
    <mergeCell ref="A59:C59"/>
    <mergeCell ref="A57:F57"/>
  </mergeCells>
  <conditionalFormatting sqref="F5:F54">
    <cfRule type="cellIs" priority="1" operator="greaterThan" dxfId="0">
      <formula>5000</formula>
    </cfRule>
  </conditionalFormatting>
  <dataValidations count="1">
    <dataValidation sqref="C5 C6 C7 C8 C9 C10 C11 C12 C13 C14 C15 C16 C17 C18 C19 C20 C21 C22 C23 C24 C25 C26 C27 C28 C29 C30 C31 C32 C33 C34 C35 C36 C37 C38 C39 C40 C41 C42 C43 C44 C45 C46 C47 C48 C49 C50 C51 C52 C53 C54" showDropDown="0" showInputMessage="0" showErrorMessage="0" allowBlank="1" type="list">
      <formula1>"Motorista,Ajudante"</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2026-04-06T14:40:41Z</dcterms:created>
  <dcterms:modified xsi:type="dcterms:W3CDTF">2026-04-06T14:40:41Z</dcterms:modified>
</cp:coreProperties>
</file>