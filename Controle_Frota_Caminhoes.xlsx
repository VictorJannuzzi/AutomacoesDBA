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inel de Controle" sheetId="1" state="visible" r:id="rId1"/>
    <sheet name="Catálogo de Peças" sheetId="2" state="visible" r:id="rId2"/>
    <sheet name="Preventiva HR" sheetId="3" state="visible" r:id="rId3"/>
    <sheet name="Corretiva HR" sheetId="4" state="visible" r:id="rId4"/>
    <sheet name="Pneus HR" sheetId="5" state="visible" r:id="rId5"/>
    <sheet name="Abastecimento HR" sheetId="6" state="visible" r:id="rId6"/>
    <sheet name="Preventiva Bongo" sheetId="7" state="visible" r:id="rId7"/>
    <sheet name="Corretiva Bongo" sheetId="8" state="visible" r:id="rId8"/>
    <sheet name="Pneus Bongo" sheetId="9" state="visible" r:id="rId9"/>
    <sheet name="Abastecimento Bongo" sheetId="10" state="visible" r:id="rId10"/>
    <sheet name="Resumo Anual" sheetId="11" state="visible" r:id="rId11"/>
  </sheets>
  <definedNames>
    <definedName name="_xlnm._FilterDatabase" localSheetId="2" hidden="1">'Preventiva HR'!$A$3:$L$153</definedName>
    <definedName name="_xlnm._FilterDatabase" localSheetId="3" hidden="1">'Corretiva HR'!$A$3:$N$153</definedName>
    <definedName name="_xlnm._FilterDatabase" localSheetId="4" hidden="1">'Pneus HR'!$A$3:$N$83</definedName>
    <definedName name="_xlnm._FilterDatabase" localSheetId="5" hidden="1">'Abastecimento HR'!$A$3:$L$153</definedName>
    <definedName name="_xlnm._FilterDatabase" localSheetId="6" hidden="1">'Preventiva Bongo'!$A$3:$L$153</definedName>
    <definedName name="_xlnm._FilterDatabase" localSheetId="7" hidden="1">'Corretiva Bongo'!$A$3:$N$153</definedName>
    <definedName name="_xlnm._FilterDatabase" localSheetId="8" hidden="1">'Pneus Bongo'!$A$3:$N$83</definedName>
    <definedName name="_xlnm._FilterDatabase" localSheetId="9" hidden="1">'Abastecimento Bongo'!$A$3:$L$153</definedName>
  </definedNames>
  <calcPr calcId="124519" fullCalcOnLoad="1"/>
</workbook>
</file>

<file path=xl/styles.xml><?xml version="1.0" encoding="utf-8"?>
<styleSheet xmlns="http://schemas.openxmlformats.org/spreadsheetml/2006/main">
  <numFmts count="7">
    <numFmt numFmtId="164" formatCode="#,##0 &quot;km&quot;"/>
    <numFmt numFmtId="165" formatCode="DD/MM/YYYY"/>
    <numFmt numFmtId="166" formatCode="R$ #,##0.00"/>
    <numFmt numFmtId="167" formatCode="R$ #,##0.000"/>
    <numFmt numFmtId="168" formatCode="#,##0.00 &quot;L&quot;"/>
    <numFmt numFmtId="169" formatCode="#,##0.00 &quot;km/l&quot;"/>
    <numFmt numFmtId="170" formatCode="#,##0.0 &quot;L&quot;"/>
  </numFmts>
  <fonts count="24">
    <font>
      <name val="Calibri"/>
      <family val="2"/>
      <color theme="1"/>
      <sz val="11"/>
      <scheme val="minor"/>
    </font>
    <font>
      <name val="Calibri"/>
      <b val="1"/>
      <color rgb="00FFFFFF"/>
      <sz val="16"/>
    </font>
    <font>
      <name val="Calibri"/>
      <b val="1"/>
      <color rgb="001A5276"/>
      <sz val="12"/>
    </font>
    <font>
      <name val="Calibri"/>
      <b val="1"/>
      <color rgb="001A1A2E"/>
      <sz val="11"/>
    </font>
    <font>
      <name val="Calibri"/>
      <color rgb="001A1A2E"/>
      <sz val="11"/>
    </font>
    <font>
      <name val="Calibri"/>
      <b val="1"/>
      <color rgb="00C0392B"/>
      <sz val="12"/>
    </font>
    <font>
      <name val="Calibri"/>
      <b val="1"/>
      <color rgb="002C3E50"/>
      <sz val="12"/>
    </font>
    <font>
      <name val="Calibri"/>
      <color rgb="00444444"/>
      <sz val="10"/>
    </font>
    <font>
      <name val="Calibri"/>
      <b val="1"/>
      <color rgb="00FFFFFF"/>
      <sz val="11"/>
    </font>
    <font>
      <name val="Calibri"/>
      <color rgb="0095A5A6"/>
      <sz val="10"/>
    </font>
    <font>
      <name val="Calibri"/>
      <color rgb="00555555"/>
      <sz val="10"/>
    </font>
    <font>
      <name val="Calibri"/>
      <b val="1"/>
      <color rgb="001E8449"/>
      <sz val="12"/>
    </font>
    <font>
      <name val="Calibri"/>
      <b val="1"/>
      <color rgb="001E8449"/>
      <sz val="13"/>
    </font>
    <font>
      <name val="Calibri"/>
      <b val="1"/>
      <color rgb="00E74C3C"/>
      <sz val="12"/>
    </font>
    <font>
      <name val="Calibri"/>
      <b val="1"/>
      <color rgb="00E74C3C"/>
      <sz val="13"/>
    </font>
    <font>
      <name val="Calibri"/>
      <b val="1"/>
      <color rgb="001A5276"/>
      <sz val="11"/>
    </font>
    <font>
      <name val="Calibri"/>
      <b val="1"/>
      <color rgb="001E8449"/>
      <sz val="11"/>
    </font>
    <font>
      <name val="Calibri"/>
      <b val="1"/>
      <color rgb="002C3E50"/>
      <sz val="11"/>
    </font>
    <font>
      <name val="Calibri"/>
      <b val="1"/>
      <color rgb="002C3E50"/>
      <sz val="13"/>
    </font>
    <font>
      <name val="Calibri"/>
      <b val="1"/>
      <color rgb="00C0392B"/>
      <sz val="11"/>
    </font>
    <font>
      <name val="Calibri"/>
      <b val="1"/>
      <color rgb="001A1A2E"/>
      <sz val="14"/>
    </font>
    <font>
      <name val="Calibri"/>
      <b val="1"/>
      <color rgb="00FFFFFF"/>
      <sz val="12"/>
    </font>
    <font>
      <name val="Calibri"/>
      <b val="1"/>
      <color rgb="0027AE60"/>
      <sz val="11"/>
    </font>
    <font>
      <name val="Calibri"/>
      <b val="1"/>
      <color rgb="00FFFFFF"/>
      <sz val="14"/>
    </font>
  </fonts>
  <fills count="15">
    <fill>
      <patternFill/>
    </fill>
    <fill>
      <patternFill patternType="gray125"/>
    </fill>
    <fill>
      <patternFill patternType="solid">
        <fgColor rgb="001B2631"/>
      </patternFill>
    </fill>
    <fill>
      <patternFill patternType="solid">
        <fgColor rgb="00FFFFFF"/>
      </patternFill>
    </fill>
    <fill>
      <patternFill patternType="solid">
        <fgColor rgb="00D4E6F1"/>
      </patternFill>
    </fill>
    <fill>
      <patternFill patternType="solid">
        <fgColor rgb="00FEF9E7"/>
      </patternFill>
    </fill>
    <fill>
      <patternFill patternType="solid">
        <fgColor rgb="00FADBD8"/>
      </patternFill>
    </fill>
    <fill>
      <patternFill patternType="solid">
        <fgColor rgb="002C3E50"/>
      </patternFill>
    </fill>
    <fill>
      <patternFill patternType="solid">
        <fgColor rgb="00F8F9FA"/>
      </patternFill>
    </fill>
    <fill>
      <patternFill patternType="solid">
        <fgColor rgb="001A5276"/>
      </patternFill>
    </fill>
    <fill>
      <patternFill patternType="solid">
        <fgColor rgb="00D5F5E3"/>
      </patternFill>
    </fill>
    <fill>
      <patternFill patternType="solid">
        <fgColor rgb="00FDEDEC"/>
      </patternFill>
    </fill>
    <fill>
      <patternFill patternType="solid">
        <fgColor rgb="00F2F3F4"/>
      </patternFill>
    </fill>
    <fill>
      <patternFill patternType="solid">
        <fgColor rgb="00C0392B"/>
      </patternFill>
    </fill>
    <fill>
      <patternFill patternType="solid">
        <fgColor rgb="0027AE60"/>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2" fillId="3" borderId="1" applyAlignment="1" pivotButton="0" quotePrefix="0" xfId="0">
      <alignment horizontal="left" vertical="center"/>
    </xf>
    <xf numFmtId="0" fontId="5" fillId="3" borderId="1" applyAlignment="1" pivotButton="0" quotePrefix="0" xfId="0">
      <alignment horizontal="left" vertical="center"/>
    </xf>
    <xf numFmtId="0" fontId="3" fillId="4" borderId="1" applyAlignment="1" pivotButton="0" quotePrefix="0" xfId="0">
      <alignment horizontal="right" vertical="center"/>
    </xf>
    <xf numFmtId="0" fontId="4" fillId="3" borderId="1" applyAlignment="1" pivotButton="0" quotePrefix="0" xfId="0">
      <alignment horizontal="left" vertical="center"/>
    </xf>
    <xf numFmtId="0" fontId="3" fillId="6" borderId="1" applyAlignment="1" pivotButton="0" quotePrefix="0" xfId="0">
      <alignment horizontal="right" vertical="center"/>
    </xf>
    <xf numFmtId="164" fontId="4" fillId="5" borderId="1" applyAlignment="1" pivotButton="0" quotePrefix="0" xfId="0">
      <alignment horizontal="left" vertical="center"/>
    </xf>
    <xf numFmtId="0" fontId="4" fillId="5" borderId="1" applyAlignment="1" pivotButton="0" quotePrefix="0" xfId="0">
      <alignment horizontal="left" vertical="center"/>
    </xf>
    <xf numFmtId="0" fontId="6" fillId="3" borderId="1" applyAlignment="1" pivotButton="0" quotePrefix="0" xfId="0">
      <alignment horizontal="left" vertical="center"/>
    </xf>
    <xf numFmtId="0" fontId="7" fillId="0"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xf>
    <xf numFmtId="0" fontId="4" fillId="8" borderId="1" applyAlignment="1" pivotButton="0" quotePrefix="0" xfId="0">
      <alignment horizontal="left" vertical="center"/>
    </xf>
    <xf numFmtId="164" fontId="3" fillId="8" borderId="1" applyAlignment="1" pivotButton="0" quotePrefix="0" xfId="0">
      <alignment horizontal="center" vertical="center"/>
    </xf>
    <xf numFmtId="0" fontId="10" fillId="8" borderId="1" applyAlignment="1" pivotButton="0" quotePrefix="0" xfId="0">
      <alignment horizontal="left" vertical="center"/>
    </xf>
    <xf numFmtId="0" fontId="9" fillId="3" borderId="1" applyAlignment="1" pivotButton="0" quotePrefix="0" xfId="0">
      <alignment horizontal="center" vertical="center"/>
    </xf>
    <xf numFmtId="164" fontId="3" fillId="3" borderId="1" applyAlignment="1" pivotButton="0" quotePrefix="0" xfId="0">
      <alignment horizontal="center" vertical="center"/>
    </xf>
    <xf numFmtId="0" fontId="10" fillId="3" borderId="1" applyAlignment="1" pivotButton="0" quotePrefix="0" xfId="0">
      <alignment horizontal="left" vertical="center"/>
    </xf>
    <xf numFmtId="0" fontId="1" fillId="9" borderId="1" applyAlignment="1" pivotButton="0" quotePrefix="0" xfId="0">
      <alignment horizontal="center" vertical="center"/>
    </xf>
    <xf numFmtId="0" fontId="0" fillId="9" borderId="1" pivotButton="0" quotePrefix="0" xfId="0"/>
    <xf numFmtId="0" fontId="4" fillId="8" borderId="1" applyAlignment="1" pivotButton="0" quotePrefix="0" xfId="0">
      <alignment horizontal="center" vertical="center"/>
    </xf>
    <xf numFmtId="165" fontId="4" fillId="8" borderId="1" applyAlignment="1" pivotButton="0" quotePrefix="0" xfId="0">
      <alignment horizontal="center" vertical="center"/>
    </xf>
    <xf numFmtId="164" fontId="4" fillId="8" borderId="1" applyAlignment="1" pivotButton="0" quotePrefix="0" xfId="0">
      <alignment horizontal="center" vertical="center"/>
    </xf>
    <xf numFmtId="166" fontId="4" fillId="8" borderId="1" applyAlignment="1" pivotButton="0" quotePrefix="0" xfId="0">
      <alignment horizontal="center" vertical="center"/>
    </xf>
    <xf numFmtId="3" fontId="4" fillId="8" borderId="1" applyAlignment="1" pivotButton="0" quotePrefix="0" xfId="0">
      <alignment horizontal="center" vertical="center"/>
    </xf>
    <xf numFmtId="0" fontId="4" fillId="3" borderId="1" applyAlignment="1" pivotButton="0" quotePrefix="0" xfId="0">
      <alignment horizontal="center" vertical="center"/>
    </xf>
    <xf numFmtId="165" fontId="4" fillId="3" borderId="1" applyAlignment="1" pivotButton="0" quotePrefix="0" xfId="0">
      <alignment horizontal="center" vertical="center"/>
    </xf>
    <xf numFmtId="164" fontId="4" fillId="3" borderId="1" applyAlignment="1" pivotButton="0" quotePrefix="0" xfId="0">
      <alignment horizontal="center" vertical="center"/>
    </xf>
    <xf numFmtId="166" fontId="4" fillId="3" borderId="1" applyAlignment="1" pivotButton="0" quotePrefix="0" xfId="0">
      <alignment horizontal="center" vertical="center"/>
    </xf>
    <xf numFmtId="3" fontId="4" fillId="3" borderId="1" applyAlignment="1" pivotButton="0" quotePrefix="0" xfId="0">
      <alignment horizontal="center" vertical="center"/>
    </xf>
    <xf numFmtId="0" fontId="11" fillId="10" borderId="1" applyAlignment="1" pivotButton="0" quotePrefix="0" xfId="0">
      <alignment horizontal="right" vertical="center"/>
    </xf>
    <xf numFmtId="0" fontId="0" fillId="10" borderId="1" pivotButton="0" quotePrefix="0" xfId="0"/>
    <xf numFmtId="166" fontId="12" fillId="10" borderId="1" applyAlignment="1" pivotButton="0" quotePrefix="0" xfId="0">
      <alignment horizontal="center" vertical="center"/>
    </xf>
    <xf numFmtId="0" fontId="13" fillId="11" borderId="1" applyAlignment="1" pivotButton="0" quotePrefix="0" xfId="0">
      <alignment horizontal="right" vertical="center"/>
    </xf>
    <xf numFmtId="0" fontId="0" fillId="11" borderId="1" pivotButton="0" quotePrefix="0" xfId="0"/>
    <xf numFmtId="166" fontId="14" fillId="11" borderId="1" applyAlignment="1" pivotButton="0" quotePrefix="0" xfId="0">
      <alignment horizontal="center" vertical="center"/>
    </xf>
    <xf numFmtId="0" fontId="15" fillId="0" borderId="1" applyAlignment="1" pivotButton="0" quotePrefix="0" xfId="0">
      <alignment horizontal="left" vertical="center"/>
    </xf>
    <xf numFmtId="167" fontId="4" fillId="8" borderId="1" applyAlignment="1" pivotButton="0" quotePrefix="0" xfId="0">
      <alignment horizontal="center" vertical="center"/>
    </xf>
    <xf numFmtId="167" fontId="4" fillId="3" borderId="1" applyAlignment="1" pivotButton="0" quotePrefix="0" xfId="0">
      <alignment horizontal="center" vertical="center"/>
    </xf>
    <xf numFmtId="4" fontId="4" fillId="8" borderId="1" applyAlignment="1" pivotButton="0" quotePrefix="0" xfId="0">
      <alignment horizontal="center" vertical="center"/>
    </xf>
    <xf numFmtId="4" fontId="4" fillId="3" borderId="1" applyAlignment="1" pivotButton="0" quotePrefix="0" xfId="0">
      <alignment horizontal="center" vertical="center"/>
    </xf>
    <xf numFmtId="168" fontId="16" fillId="10" borderId="1" applyAlignment="1" pivotButton="0" quotePrefix="0" xfId="0">
      <alignment horizontal="center" vertical="center"/>
    </xf>
    <xf numFmtId="0" fontId="17" fillId="12" borderId="1" applyAlignment="1" pivotButton="0" quotePrefix="0" xfId="0">
      <alignment horizontal="right" vertical="center"/>
    </xf>
    <xf numFmtId="0" fontId="0" fillId="12" borderId="1" pivotButton="0" quotePrefix="0" xfId="0"/>
    <xf numFmtId="169" fontId="18" fillId="12" borderId="1" applyAlignment="1" pivotButton="0" quotePrefix="0" xfId="0">
      <alignment horizontal="center" vertical="center"/>
    </xf>
    <xf numFmtId="0" fontId="1" fillId="13" borderId="1" applyAlignment="1" pivotButton="0" quotePrefix="0" xfId="0">
      <alignment horizontal="center" vertical="center"/>
    </xf>
    <xf numFmtId="0" fontId="0" fillId="13" borderId="1" pivotButton="0" quotePrefix="0" xfId="0"/>
    <xf numFmtId="0" fontId="19" fillId="0" borderId="1" applyAlignment="1" pivotButton="0" quotePrefix="0" xfId="0">
      <alignment horizontal="left" vertical="center"/>
    </xf>
    <xf numFmtId="0" fontId="6" fillId="0" borderId="1" applyAlignment="1" pivotButton="0" quotePrefix="0" xfId="0">
      <alignment horizontal="right" vertical="center"/>
    </xf>
    <xf numFmtId="0" fontId="20" fillId="5" borderId="1" applyAlignment="1" pivotButton="0" quotePrefix="0" xfId="0">
      <alignment horizontal="center" vertical="center"/>
    </xf>
    <xf numFmtId="0" fontId="21" fillId="7" borderId="1" applyAlignment="1" pivotButton="0" quotePrefix="0" xfId="0">
      <alignment horizontal="center" vertical="center"/>
    </xf>
    <xf numFmtId="0" fontId="21" fillId="9" borderId="1" applyAlignment="1" pivotButton="0" quotePrefix="0" xfId="0">
      <alignment horizontal="center" vertical="center"/>
    </xf>
    <xf numFmtId="0" fontId="21" fillId="13" borderId="1" applyAlignment="1" pivotButton="0" quotePrefix="0" xfId="0">
      <alignment horizontal="center" vertical="center"/>
    </xf>
    <xf numFmtId="0" fontId="21" fillId="14" borderId="1" applyAlignment="1" pivotButton="0" quotePrefix="0" xfId="0">
      <alignment horizontal="center" vertical="center"/>
    </xf>
    <xf numFmtId="0" fontId="3" fillId="8" borderId="1" applyAlignment="1" pivotButton="0" quotePrefix="0" xfId="0">
      <alignment horizontal="left" vertical="center"/>
    </xf>
    <xf numFmtId="166" fontId="22" fillId="8" borderId="1" applyAlignment="1" pivotButton="0" quotePrefix="0" xfId="0">
      <alignment horizontal="center" vertical="center"/>
    </xf>
    <xf numFmtId="0" fontId="3" fillId="3" borderId="1" applyAlignment="1" pivotButton="0" quotePrefix="0" xfId="0">
      <alignment horizontal="left" vertical="center"/>
    </xf>
    <xf numFmtId="166" fontId="22" fillId="3" borderId="1" applyAlignment="1" pivotButton="0" quotePrefix="0" xfId="0">
      <alignment horizontal="center" vertical="center"/>
    </xf>
    <xf numFmtId="166" fontId="4" fillId="5" borderId="1" applyAlignment="1" pivotButton="0" quotePrefix="0" xfId="0">
      <alignment horizontal="center" vertical="center"/>
    </xf>
    <xf numFmtId="0" fontId="23" fillId="2" borderId="1" applyAlignment="1" pivotButton="0" quotePrefix="0" xfId="0">
      <alignment horizontal="right" vertical="center"/>
    </xf>
    <xf numFmtId="166" fontId="23" fillId="9" borderId="1" applyAlignment="1" pivotButton="0" quotePrefix="0" xfId="0">
      <alignment horizontal="center" vertical="center"/>
    </xf>
    <xf numFmtId="166" fontId="23" fillId="13" borderId="1" applyAlignment="1" pivotButton="0" quotePrefix="0" xfId="0">
      <alignment horizontal="center" vertical="center"/>
    </xf>
    <xf numFmtId="166" fontId="23" fillId="14" borderId="1" applyAlignment="1" pivotButton="0" quotePrefix="0" xfId="0">
      <alignment horizontal="center" vertical="center"/>
    </xf>
    <xf numFmtId="3" fontId="3" fillId="8" borderId="1" applyAlignment="1" pivotButton="0" quotePrefix="0" xfId="0">
      <alignment horizontal="center" vertical="center"/>
    </xf>
    <xf numFmtId="3" fontId="22" fillId="8" borderId="1" applyAlignment="1" pivotButton="0" quotePrefix="0" xfId="0">
      <alignment horizontal="center" vertical="center"/>
    </xf>
    <xf numFmtId="170" fontId="3" fillId="3" borderId="1" applyAlignment="1" pivotButton="0" quotePrefix="0" xfId="0">
      <alignment horizontal="center" vertical="center"/>
    </xf>
    <xf numFmtId="170" fontId="22" fillId="3" borderId="1" applyAlignment="1" pivotButton="0" quotePrefix="0" xfId="0">
      <alignment horizontal="center" vertical="center"/>
    </xf>
    <xf numFmtId="3" fontId="3" fillId="3" borderId="1" applyAlignment="1" pivotButton="0" quotePrefix="0" xfId="0">
      <alignment horizontal="center" vertical="center"/>
    </xf>
    <xf numFmtId="3" fontId="22" fillId="3" borderId="1" applyAlignment="1" pivotButton="0" quotePrefix="0" xfId="0">
      <alignment horizontal="center" vertical="center"/>
    </xf>
    <xf numFmtId="166" fontId="3" fillId="3" borderId="1" applyAlignment="1" pivotButton="0" quotePrefix="0" xfId="0">
      <alignment horizontal="center" vertical="center"/>
    </xf>
  </cellXfs>
  <cellStyles count="1">
    <cellStyle name="Normal" xfId="0" builtinId="0" hidden="0"/>
  </cellStyles>
  <dxfs count="2">
    <dxf>
      <fill>
        <patternFill patternType="solid">
          <fgColor rgb="00FDEDEC"/>
        </patternFill>
      </fill>
    </dxf>
    <dxf>
      <fill>
        <patternFill patternType="solid">
          <f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3E50"/>
    <outlinePr summaryBelow="1" summaryRight="1"/>
    <pageSetUpPr fitToPage="1"/>
  </sheetPr>
  <dimension ref="A1:H29"/>
  <sheetViews>
    <sheetView workbookViewId="0">
      <pane ySplit="2" topLeftCell="A3" activePane="bottomLeft" state="frozen"/>
      <selection pane="bottomLeft" activeCell="A1" sqref="A1"/>
    </sheetView>
  </sheetViews>
  <sheetFormatPr baseColWidth="8" defaultRowHeight="15"/>
  <cols>
    <col width="3" customWidth="1" min="1" max="1"/>
    <col width="28" customWidth="1" min="2" max="2"/>
    <col width="30" customWidth="1" min="3" max="3"/>
    <col width="5" customWidth="1" min="4" max="4"/>
    <col width="28" customWidth="1" min="5" max="5"/>
    <col width="30" customWidth="1" min="6" max="6"/>
    <col width="3" customWidth="1" min="7" max="7"/>
    <col width="3" customWidth="1" min="8" max="8"/>
  </cols>
  <sheetData>
    <row r="1" ht="38" customHeight="1">
      <c r="A1" s="1" t="inlineStr">
        <is>
          <t>PAINEL DE CONTROLE — FROTA</t>
        </is>
      </c>
      <c r="B1" s="2" t="n"/>
      <c r="C1" s="2" t="n"/>
      <c r="D1" s="2" t="n"/>
      <c r="E1" s="2" t="n"/>
      <c r="F1" s="2" t="n"/>
      <c r="G1" s="2" t="n"/>
      <c r="H1" s="2" t="n"/>
    </row>
    <row r="3" ht="26" customHeight="1">
      <c r="A3" s="3" t="inlineStr">
        <is>
          <t>CAMINHÃO 1 — HR HYUNDAI 2018 DIESEL</t>
        </is>
      </c>
      <c r="E3" s="4" t="inlineStr">
        <is>
          <t>CAMINHÃO 2 — KIA BONGO 2014 DIESEL</t>
        </is>
      </c>
    </row>
    <row r="4">
      <c r="B4" s="5" t="inlineStr">
        <is>
          <t>Modelo</t>
        </is>
      </c>
      <c r="C4" s="6" t="inlineStr">
        <is>
          <t>HR Hyundai 2018</t>
        </is>
      </c>
      <c r="E4" s="7" t="inlineStr">
        <is>
          <t>Modelo</t>
        </is>
      </c>
      <c r="F4" s="6" t="inlineStr">
        <is>
          <t>KIA Bongo 2014</t>
        </is>
      </c>
    </row>
    <row r="5">
      <c r="B5" s="5" t="inlineStr">
        <is>
          <t>Motor</t>
        </is>
      </c>
      <c r="C5" s="6" t="inlineStr">
        <is>
          <t>2.5 Turbo Diesel (D4CB)</t>
        </is>
      </c>
      <c r="E5" s="7" t="inlineStr">
        <is>
          <t>Motor</t>
        </is>
      </c>
      <c r="F5" s="6" t="inlineStr">
        <is>
          <t>2.5 Turbo Diesel (D4BH)</t>
        </is>
      </c>
    </row>
    <row r="6">
      <c r="B6" s="5" t="inlineStr">
        <is>
          <t>Potência</t>
        </is>
      </c>
      <c r="C6" s="6" t="inlineStr">
        <is>
          <t>130 cv</t>
        </is>
      </c>
      <c r="E6" s="7" t="inlineStr">
        <is>
          <t>Potência</t>
        </is>
      </c>
      <c r="F6" s="6" t="inlineStr">
        <is>
          <t>94 cv</t>
        </is>
      </c>
    </row>
    <row r="7">
      <c r="B7" s="5" t="inlineStr">
        <is>
          <t>Torque</t>
        </is>
      </c>
      <c r="C7" s="6" t="inlineStr">
        <is>
          <t>26,0 kgfm</t>
        </is>
      </c>
      <c r="E7" s="7" t="inlineStr">
        <is>
          <t>Torque</t>
        </is>
      </c>
      <c r="F7" s="6" t="inlineStr">
        <is>
          <t>22,1 kgfm</t>
        </is>
      </c>
    </row>
    <row r="8">
      <c r="B8" s="5" t="inlineStr">
        <is>
          <t>Câmbio</t>
        </is>
      </c>
      <c r="C8" s="6" t="inlineStr">
        <is>
          <t>Manual 6 marchas</t>
        </is>
      </c>
      <c r="E8" s="7" t="inlineStr">
        <is>
          <t>Câmbio</t>
        </is>
      </c>
      <c r="F8" s="6" t="inlineStr">
        <is>
          <t>Manual 5 marchas</t>
        </is>
      </c>
    </row>
    <row r="9">
      <c r="B9" s="5" t="inlineStr">
        <is>
          <t>PBT</t>
        </is>
      </c>
      <c r="C9" s="6" t="inlineStr">
        <is>
          <t>3.550 kg</t>
        </is>
      </c>
      <c r="E9" s="7" t="inlineStr">
        <is>
          <t>PBT</t>
        </is>
      </c>
      <c r="F9" s="6" t="inlineStr">
        <is>
          <t>3.500 kg</t>
        </is>
      </c>
    </row>
    <row r="10">
      <c r="B10" s="5" t="inlineStr">
        <is>
          <t>Carga Útil</t>
        </is>
      </c>
      <c r="C10" s="6" t="inlineStr">
        <is>
          <t>~1.700 kg</t>
        </is>
      </c>
      <c r="E10" s="7" t="inlineStr">
        <is>
          <t>Carga Útil</t>
        </is>
      </c>
      <c r="F10" s="6" t="inlineStr">
        <is>
          <t>~1.650 kg</t>
        </is>
      </c>
    </row>
    <row r="11">
      <c r="B11" s="5" t="inlineStr">
        <is>
          <t>Tanque</t>
        </is>
      </c>
      <c r="C11" s="6" t="inlineStr">
        <is>
          <t>75 litros</t>
        </is>
      </c>
      <c r="E11" s="7" t="inlineStr">
        <is>
          <t>Tanque</t>
        </is>
      </c>
      <c r="F11" s="6" t="inlineStr">
        <is>
          <t>65 litros</t>
        </is>
      </c>
    </row>
    <row r="12">
      <c r="B12" s="5" t="inlineStr">
        <is>
          <t>Pneus</t>
        </is>
      </c>
      <c r="C12" s="6" t="inlineStr">
        <is>
          <t>205/75 R16</t>
        </is>
      </c>
      <c r="E12" s="7" t="inlineStr">
        <is>
          <t>Pneus</t>
        </is>
      </c>
      <c r="F12" s="6" t="inlineStr">
        <is>
          <t>205/75 R16</t>
        </is>
      </c>
    </row>
    <row r="13">
      <c r="B13" s="5" t="inlineStr">
        <is>
          <t>Ano</t>
        </is>
      </c>
      <c r="C13" s="6" t="n">
        <v>2018</v>
      </c>
      <c r="E13" s="7" t="inlineStr">
        <is>
          <t>Ano</t>
        </is>
      </c>
      <c r="F13" s="6" t="n">
        <v>2014</v>
      </c>
    </row>
    <row r="14">
      <c r="B14" s="5" t="inlineStr">
        <is>
          <t>Odômetro Atual (km)</t>
        </is>
      </c>
      <c r="C14" s="8" t="n"/>
      <c r="E14" s="7" t="inlineStr">
        <is>
          <t>Odômetro Atual (km)</t>
        </is>
      </c>
      <c r="F14" s="8" t="n"/>
    </row>
    <row r="15">
      <c r="B15" s="5" t="inlineStr">
        <is>
          <t>Placa</t>
        </is>
      </c>
      <c r="C15" s="9" t="n"/>
      <c r="E15" s="7" t="inlineStr">
        <is>
          <t>Placa</t>
        </is>
      </c>
      <c r="F15" s="9" t="n"/>
    </row>
    <row r="16">
      <c r="B16" s="5" t="inlineStr">
        <is>
          <t>RENAVAM</t>
        </is>
      </c>
      <c r="C16" s="9" t="n"/>
      <c r="E16" s="7" t="inlineStr">
        <is>
          <t>RENAVAM</t>
        </is>
      </c>
      <c r="F16" s="9" t="n"/>
    </row>
    <row r="17">
      <c r="B17" s="5" t="inlineStr">
        <is>
          <t>Chassi</t>
        </is>
      </c>
      <c r="C17" s="9" t="n"/>
      <c r="E17" s="7" t="inlineStr">
        <is>
          <t>Chassi</t>
        </is>
      </c>
      <c r="F17" s="9" t="n"/>
    </row>
    <row r="20" ht="26" customHeight="1">
      <c r="A20" s="10" t="inlineStr">
        <is>
          <t>COMO USAR ESTA PLANILHA</t>
        </is>
      </c>
    </row>
    <row r="21" ht="22" customHeight="1">
      <c r="B21" s="11" t="inlineStr">
        <is>
          <t>1. Preencha os dados dos caminhões acima (placa, RENAVAM, odômetro atual).</t>
        </is>
      </c>
    </row>
    <row r="22" ht="22" customHeight="1">
      <c r="B22" s="11" t="inlineStr">
        <is>
          <t>2. Use as abas 'Preventiva HR' e 'Preventiva Bongo' para registrar manutenções de rotina.</t>
        </is>
      </c>
    </row>
    <row r="23" ht="22" customHeight="1">
      <c r="B23" s="11" t="inlineStr">
        <is>
          <t>3. Use as abas 'Corretiva HR' e 'Corretiva Bongo' para quebras e consertos inesperados.</t>
        </is>
      </c>
    </row>
    <row r="24" ht="22" customHeight="1">
      <c r="B24" s="11" t="inlineStr">
        <is>
          <t>4. A aba 'Catálogo de Peças' tem TODAS as peças com km preventivo de referência.</t>
        </is>
      </c>
    </row>
    <row r="25" ht="22" customHeight="1">
      <c r="B25" s="11" t="inlineStr">
        <is>
          <t>5. Use as abas de 'Abastecimento' para controlar consumo de diesel (km/l automático).</t>
        </is>
      </c>
    </row>
    <row r="26" ht="22" customHeight="1">
      <c r="B26" s="11" t="inlineStr">
        <is>
          <t>6. A aba 'Resumo Anual' consolida TODOS os gastos automaticamente.</t>
        </is>
      </c>
    </row>
    <row r="27" ht="22" customHeight="1">
      <c r="B27" s="11" t="inlineStr">
        <is>
          <t>7. Células AMARELAS = campos para você preencher. O resto é automático.</t>
        </is>
      </c>
    </row>
    <row r="28" ht="22" customHeight="1">
      <c r="B28" s="11" t="inlineStr">
        <is>
          <t>8. As colunas 'Vida Útil' e 'Km até Próxima' são calculadas automaticamente.</t>
        </is>
      </c>
    </row>
    <row r="29" ht="22" customHeight="1">
      <c r="B29" s="11" t="inlineStr">
        <is>
          <t>9. Dica: registre SEMPRE o odômetro — é a base de todos os cálculos de vida útil.</t>
        </is>
      </c>
    </row>
  </sheetData>
  <mergeCells count="13">
    <mergeCell ref="B21:F21"/>
    <mergeCell ref="B29:F29"/>
    <mergeCell ref="B24:F24"/>
    <mergeCell ref="A20:H20"/>
    <mergeCell ref="B25:F25"/>
    <mergeCell ref="B28:F28"/>
    <mergeCell ref="A3:C3"/>
    <mergeCell ref="B23:F23"/>
    <mergeCell ref="B22:F22"/>
    <mergeCell ref="A1:H1"/>
    <mergeCell ref="B26:F26"/>
    <mergeCell ref="B27:F27"/>
    <mergeCell ref="E3:F3"/>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95A5A6"/>
    <outlinePr summaryBelow="1" summaryRight="1"/>
    <pageSetUpPr fitToPage="1"/>
  </sheetPr>
  <dimension ref="A1:G115"/>
  <sheetViews>
    <sheetView workbookViewId="0">
      <pane ySplit="4" topLeftCell="A5" activePane="bottomLeft" state="frozen"/>
      <selection pane="bottomLeft" activeCell="A1" sqref="A1"/>
    </sheetView>
  </sheetViews>
  <sheetFormatPr baseColWidth="8" defaultRowHeight="15"/>
  <cols>
    <col width="5" customWidth="1" min="1" max="1"/>
    <col width="42" customWidth="1" min="2" max="2"/>
    <col width="16" customWidth="1" min="3" max="3"/>
    <col width="45" customWidth="1" min="4" max="4"/>
  </cols>
  <sheetData>
    <row r="1" ht="38" customHeight="1">
      <c r="A1" s="1" t="inlineStr">
        <is>
          <t>CATÁLOGO DE PEÇAS — REFERÊNCIA DE VIDA ÚTIL</t>
        </is>
      </c>
      <c r="B1" s="2" t="n"/>
      <c r="C1" s="2" t="n"/>
      <c r="D1" s="2" t="n"/>
      <c r="E1" s="2" t="n"/>
      <c r="F1" s="2" t="n"/>
      <c r="G1" s="2" t="n"/>
    </row>
    <row r="3" ht="26" customHeight="1">
      <c r="A3" s="3" t="inlineStr">
        <is>
          <t>HR HYUNDAI 2018 — 2.5 TURBO DIESEL</t>
        </is>
      </c>
    </row>
    <row r="4" ht="32" customHeight="1">
      <c r="A4" s="12" t="inlineStr">
        <is>
          <t>Nº</t>
        </is>
      </c>
      <c r="B4" s="12" t="inlineStr">
        <is>
          <t>Peça / Componente</t>
        </is>
      </c>
      <c r="C4" s="12" t="inlineStr">
        <is>
          <t>Km Preventivo</t>
        </is>
      </c>
      <c r="D4" s="12" t="inlineStr">
        <is>
          <t>Observação</t>
        </is>
      </c>
    </row>
    <row r="5" ht="20" customHeight="1">
      <c r="A5" s="13" t="n">
        <v>1</v>
      </c>
      <c r="B5" s="14" t="inlineStr">
        <is>
          <t>Óleo do Motor 5W-30 (Diesel)</t>
        </is>
      </c>
      <c r="C5" s="15" t="n">
        <v>10000</v>
      </c>
      <c r="D5" s="16" t="inlineStr">
        <is>
          <t>Troca a cada 10.000 km</t>
        </is>
      </c>
    </row>
    <row r="6" ht="20" customHeight="1">
      <c r="A6" s="17" t="n">
        <v>2</v>
      </c>
      <c r="B6" s="6" t="inlineStr">
        <is>
          <t>Filtro de Óleo</t>
        </is>
      </c>
      <c r="C6" s="18" t="n">
        <v>10000</v>
      </c>
      <c r="D6" s="19" t="inlineStr">
        <is>
          <t>Trocar junto com o óleo</t>
        </is>
      </c>
    </row>
    <row r="7" ht="20" customHeight="1">
      <c r="A7" s="13" t="n">
        <v>3</v>
      </c>
      <c r="B7" s="14" t="inlineStr">
        <is>
          <t>Filtro de Combustível</t>
        </is>
      </c>
      <c r="C7" s="15" t="n">
        <v>20000</v>
      </c>
      <c r="D7" s="16" t="inlineStr">
        <is>
          <t>Trocar a cada 20.000 km</t>
        </is>
      </c>
    </row>
    <row r="8" ht="20" customHeight="1">
      <c r="A8" s="17" t="n">
        <v>4</v>
      </c>
      <c r="B8" s="6" t="inlineStr">
        <is>
          <t>Filtro de Ar do Motor</t>
        </is>
      </c>
      <c r="C8" s="18" t="n">
        <v>20000</v>
      </c>
      <c r="D8" s="19" t="inlineStr">
        <is>
          <t>Trocar a cada 20.000 km ou quando sujo</t>
        </is>
      </c>
    </row>
    <row r="9" ht="20" customHeight="1">
      <c r="A9" s="13" t="n">
        <v>5</v>
      </c>
      <c r="B9" s="14" t="inlineStr">
        <is>
          <t>Filtro de Ar Condicionado (Cabine)</t>
        </is>
      </c>
      <c r="C9" s="15" t="n">
        <v>15000</v>
      </c>
      <c r="D9" s="16" t="inlineStr">
        <is>
          <t>Trocar a cada 15.000 km</t>
        </is>
      </c>
    </row>
    <row r="10" ht="20" customHeight="1">
      <c r="A10" s="17" t="n">
        <v>6</v>
      </c>
      <c r="B10" s="6" t="inlineStr">
        <is>
          <t>Correia Dentada</t>
        </is>
      </c>
      <c r="C10" s="18" t="n">
        <v>100000</v>
      </c>
      <c r="D10" s="19" t="inlineStr">
        <is>
          <t>CRÍTICO — trocar a cada 100.000 km</t>
        </is>
      </c>
    </row>
    <row r="11" ht="20" customHeight="1">
      <c r="A11" s="13" t="n">
        <v>7</v>
      </c>
      <c r="B11" s="14" t="inlineStr">
        <is>
          <t>Correia do Alternador</t>
        </is>
      </c>
      <c r="C11" s="15" t="n">
        <v>60000</v>
      </c>
      <c r="D11" s="16" t="inlineStr">
        <is>
          <t>Verificar a cada 30.000 km, trocar 60.000</t>
        </is>
      </c>
    </row>
    <row r="12" ht="20" customHeight="1">
      <c r="A12" s="17" t="n">
        <v>8</v>
      </c>
      <c r="B12" s="6" t="inlineStr">
        <is>
          <t>Tensor da Correia Dentada</t>
        </is>
      </c>
      <c r="C12" s="18" t="n">
        <v>100000</v>
      </c>
      <c r="D12" s="19" t="inlineStr">
        <is>
          <t>Trocar junto com a correia dentada</t>
        </is>
      </c>
    </row>
    <row r="13" ht="20" customHeight="1">
      <c r="A13" s="13" t="n">
        <v>9</v>
      </c>
      <c r="B13" s="14" t="inlineStr">
        <is>
          <t>Bomba d'Água</t>
        </is>
      </c>
      <c r="C13" s="15" t="n">
        <v>100000</v>
      </c>
      <c r="D13" s="16" t="inlineStr">
        <is>
          <t>Trocar junto com a correia dentada</t>
        </is>
      </c>
    </row>
    <row r="14" ht="20" customHeight="1">
      <c r="A14" s="17" t="n">
        <v>10</v>
      </c>
      <c r="B14" s="6" t="inlineStr">
        <is>
          <t>Kit de Embreagem (Disco + Platô + Rolamento)</t>
        </is>
      </c>
      <c r="C14" s="18" t="n">
        <v>80000</v>
      </c>
      <c r="D14" s="19" t="inlineStr">
        <is>
          <t>Depende do uso — média 80.000 km</t>
        </is>
      </c>
    </row>
    <row r="15" ht="20" customHeight="1">
      <c r="A15" s="13" t="n">
        <v>11</v>
      </c>
      <c r="B15" s="14" t="inlineStr">
        <is>
          <t>Fluido de Embreagem</t>
        </is>
      </c>
      <c r="C15" s="15" t="n">
        <v>30000</v>
      </c>
      <c r="D15" s="16" t="inlineStr">
        <is>
          <t>Trocar a cada 30.000 km</t>
        </is>
      </c>
    </row>
    <row r="16" ht="20" customHeight="1">
      <c r="A16" s="17" t="n">
        <v>12</v>
      </c>
      <c r="B16" s="6" t="inlineStr">
        <is>
          <t>Pastilhas de Freio Dianteiras</t>
        </is>
      </c>
      <c r="C16" s="18" t="n">
        <v>30000</v>
      </c>
      <c r="D16" s="19" t="inlineStr">
        <is>
          <t>Verificar a cada 15.000 km</t>
        </is>
      </c>
    </row>
    <row r="17" ht="20" customHeight="1">
      <c r="A17" s="13" t="n">
        <v>13</v>
      </c>
      <c r="B17" s="14" t="inlineStr">
        <is>
          <t>Lonas de Freio Traseiras</t>
        </is>
      </c>
      <c r="C17" s="15" t="n">
        <v>40000</v>
      </c>
      <c r="D17" s="16" t="inlineStr">
        <is>
          <t>Verificar a cada 20.000 km</t>
        </is>
      </c>
    </row>
    <row r="18" ht="20" customHeight="1">
      <c r="A18" s="17" t="n">
        <v>14</v>
      </c>
      <c r="B18" s="6" t="inlineStr">
        <is>
          <t>Disco de Freio Dianteiro</t>
        </is>
      </c>
      <c r="C18" s="18" t="n">
        <v>60000</v>
      </c>
      <c r="D18" s="19" t="inlineStr">
        <is>
          <t>Trocar a cada 2 trocas de pastilha</t>
        </is>
      </c>
    </row>
    <row r="19" ht="20" customHeight="1">
      <c r="A19" s="13" t="n">
        <v>15</v>
      </c>
      <c r="B19" s="14" t="inlineStr">
        <is>
          <t>Tambor de Freio Traseiro</t>
        </is>
      </c>
      <c r="C19" s="15" t="n">
        <v>80000</v>
      </c>
      <c r="D19" s="16" t="inlineStr">
        <is>
          <t>Verificar junto com as lonas</t>
        </is>
      </c>
    </row>
    <row r="20" ht="20" customHeight="1">
      <c r="A20" s="17" t="n">
        <v>16</v>
      </c>
      <c r="B20" s="6" t="inlineStr">
        <is>
          <t>Fluido de Freio DOT4</t>
        </is>
      </c>
      <c r="C20" s="18" t="n">
        <v>20000</v>
      </c>
      <c r="D20" s="19" t="inlineStr">
        <is>
          <t>Trocar a cada 20.000 km ou 1 ano</t>
        </is>
      </c>
    </row>
    <row r="21" ht="20" customHeight="1">
      <c r="A21" s="13" t="n">
        <v>17</v>
      </c>
      <c r="B21" s="14" t="inlineStr">
        <is>
          <t>Óleo da Direção Hidráulica</t>
        </is>
      </c>
      <c r="C21" s="15" t="n">
        <v>40000</v>
      </c>
      <c r="D21" s="16" t="inlineStr">
        <is>
          <t>Trocar a cada 40.000 km</t>
        </is>
      </c>
    </row>
    <row r="22" ht="20" customHeight="1">
      <c r="A22" s="17" t="n">
        <v>18</v>
      </c>
      <c r="B22" s="6" t="inlineStr">
        <is>
          <t>Amortecedores Dianteiros (par)</t>
        </is>
      </c>
      <c r="C22" s="18" t="n">
        <v>60000</v>
      </c>
      <c r="D22" s="19" t="inlineStr">
        <is>
          <t>Trocar a cada 60.000 km</t>
        </is>
      </c>
    </row>
    <row r="23" ht="20" customHeight="1">
      <c r="A23" s="13" t="n">
        <v>19</v>
      </c>
      <c r="B23" s="14" t="inlineStr">
        <is>
          <t>Amortecedores Traseiros (par)</t>
        </is>
      </c>
      <c r="C23" s="15" t="n">
        <v>60000</v>
      </c>
      <c r="D23" s="16" t="inlineStr">
        <is>
          <t>Trocar a cada 60.000 km</t>
        </is>
      </c>
    </row>
    <row r="24" ht="20" customHeight="1">
      <c r="A24" s="17" t="n">
        <v>20</v>
      </c>
      <c r="B24" s="6" t="inlineStr">
        <is>
          <t>Molas Dianteiras (par)</t>
        </is>
      </c>
      <c r="C24" s="18" t="n">
        <v>100000</v>
      </c>
      <c r="D24" s="19" t="inlineStr">
        <is>
          <t>Verificar a cada 50.000 km</t>
        </is>
      </c>
    </row>
    <row r="25" ht="20" customHeight="1">
      <c r="A25" s="13" t="n">
        <v>21</v>
      </c>
      <c r="B25" s="14" t="inlineStr">
        <is>
          <t>Molas Traseiras / Feixe de Molas</t>
        </is>
      </c>
      <c r="C25" s="15" t="n">
        <v>120000</v>
      </c>
      <c r="D25" s="16" t="inlineStr">
        <is>
          <t>Verificar carga e estado</t>
        </is>
      </c>
    </row>
    <row r="26" ht="20" customHeight="1">
      <c r="A26" s="17" t="n">
        <v>22</v>
      </c>
      <c r="B26" s="6" t="inlineStr">
        <is>
          <t>Buchas da Suspensão (jogo)</t>
        </is>
      </c>
      <c r="C26" s="18" t="n">
        <v>80000</v>
      </c>
      <c r="D26" s="19" t="inlineStr">
        <is>
          <t>Trocar quando folgar</t>
        </is>
      </c>
    </row>
    <row r="27" ht="20" customHeight="1">
      <c r="A27" s="13" t="n">
        <v>23</v>
      </c>
      <c r="B27" s="14" t="inlineStr">
        <is>
          <t>Pivô de Direção</t>
        </is>
      </c>
      <c r="C27" s="15" t="n">
        <v>60000</v>
      </c>
      <c r="D27" s="16" t="inlineStr">
        <is>
          <t>Verificar folga a cada 30.000 km</t>
        </is>
      </c>
    </row>
    <row r="28" ht="20" customHeight="1">
      <c r="A28" s="17" t="n">
        <v>24</v>
      </c>
      <c r="B28" s="6" t="inlineStr">
        <is>
          <t>Terminais de Direção (par)</t>
        </is>
      </c>
      <c r="C28" s="18" t="n">
        <v>50000</v>
      </c>
      <c r="D28" s="19" t="inlineStr">
        <is>
          <t>Verificar folga</t>
        </is>
      </c>
    </row>
    <row r="29" ht="20" customHeight="1">
      <c r="A29" s="13" t="n">
        <v>25</v>
      </c>
      <c r="B29" s="14" t="inlineStr">
        <is>
          <t>Barra de Direção</t>
        </is>
      </c>
      <c r="C29" s="15" t="n">
        <v>80000</v>
      </c>
      <c r="D29" s="16" t="inlineStr">
        <is>
          <t>Verificar alinhamento</t>
        </is>
      </c>
    </row>
    <row r="30" ht="20" customHeight="1">
      <c r="A30" s="17" t="n">
        <v>26</v>
      </c>
      <c r="B30" s="6" t="inlineStr">
        <is>
          <t>Bateria 60Ah</t>
        </is>
      </c>
      <c r="C30" s="18" t="n">
        <v>50000</v>
      </c>
      <c r="D30" s="19" t="inlineStr">
        <is>
          <t>Vida útil ~2 anos ou 50.000 km</t>
        </is>
      </c>
    </row>
    <row r="31" ht="20" customHeight="1">
      <c r="A31" s="13" t="n">
        <v>27</v>
      </c>
      <c r="B31" s="14" t="inlineStr">
        <is>
          <t>Alternador</t>
        </is>
      </c>
      <c r="C31" s="15" t="n">
        <v>150000</v>
      </c>
      <c r="D31" s="16" t="inlineStr">
        <is>
          <t>Verificar carga regularmente</t>
        </is>
      </c>
    </row>
    <row r="32" ht="20" customHeight="1">
      <c r="A32" s="17" t="n">
        <v>28</v>
      </c>
      <c r="B32" s="6" t="inlineStr">
        <is>
          <t>Motor de Arranque</t>
        </is>
      </c>
      <c r="C32" s="18" t="n">
        <v>150000</v>
      </c>
      <c r="D32" s="19" t="inlineStr">
        <is>
          <t>Verificar funcionamento</t>
        </is>
      </c>
    </row>
    <row r="33" ht="20" customHeight="1">
      <c r="A33" s="13" t="n">
        <v>29</v>
      </c>
      <c r="B33" s="14" t="inlineStr">
        <is>
          <t>Velas de Aquecimento (jogo 4)</t>
        </is>
      </c>
      <c r="C33" s="15" t="n">
        <v>60000</v>
      </c>
      <c r="D33" s="16" t="inlineStr">
        <is>
          <t>Essenciais para partida a frio — diesel</t>
        </is>
      </c>
    </row>
    <row r="34" ht="20" customHeight="1">
      <c r="A34" s="17" t="n">
        <v>30</v>
      </c>
      <c r="B34" s="6" t="inlineStr">
        <is>
          <t>Bomba Injetora</t>
        </is>
      </c>
      <c r="C34" s="18" t="n">
        <v>200000</v>
      </c>
      <c r="D34" s="19" t="inlineStr">
        <is>
          <t>Revisão a cada 100.000 km</t>
        </is>
      </c>
    </row>
    <row r="35" ht="20" customHeight="1">
      <c r="A35" s="13" t="n">
        <v>31</v>
      </c>
      <c r="B35" s="14" t="inlineStr">
        <is>
          <t>Bicos Injetores (jogo 4)</t>
        </is>
      </c>
      <c r="C35" s="15" t="n">
        <v>150000</v>
      </c>
      <c r="D35" s="16" t="inlineStr">
        <is>
          <t>Limpeza a cada 50.000 km, troca 150.000</t>
        </is>
      </c>
    </row>
    <row r="36" ht="20" customHeight="1">
      <c r="A36" s="17" t="n">
        <v>32</v>
      </c>
      <c r="B36" s="6" t="inlineStr">
        <is>
          <t>Turbina / Turbocompressor</t>
        </is>
      </c>
      <c r="C36" s="18" t="n">
        <v>200000</v>
      </c>
      <c r="D36" s="19" t="inlineStr">
        <is>
          <t>Verificar folga e vazamento</t>
        </is>
      </c>
    </row>
    <row r="37" ht="20" customHeight="1">
      <c r="A37" s="13" t="n">
        <v>33</v>
      </c>
      <c r="B37" s="14" t="inlineStr">
        <is>
          <t>Intercooler</t>
        </is>
      </c>
      <c r="C37" s="15" t="n">
        <v>200000</v>
      </c>
      <c r="D37" s="16" t="inlineStr">
        <is>
          <t>Limpeza periódica</t>
        </is>
      </c>
    </row>
    <row r="38" ht="20" customHeight="1">
      <c r="A38" s="17" t="n">
        <v>34</v>
      </c>
      <c r="B38" s="6" t="inlineStr">
        <is>
          <t>Radiador</t>
        </is>
      </c>
      <c r="C38" s="18" t="n">
        <v>150000</v>
      </c>
      <c r="D38" s="19" t="inlineStr">
        <is>
          <t>Verificar a cada troca de líquido</t>
        </is>
      </c>
    </row>
    <row r="39" ht="20" customHeight="1">
      <c r="A39" s="13" t="n">
        <v>35</v>
      </c>
      <c r="B39" s="14" t="inlineStr">
        <is>
          <t>Líquido de Arrefecimento</t>
        </is>
      </c>
      <c r="C39" s="15" t="n">
        <v>30000</v>
      </c>
      <c r="D39" s="16" t="inlineStr">
        <is>
          <t>Trocar a cada 30.000 km ou 1 ano</t>
        </is>
      </c>
    </row>
    <row r="40" ht="20" customHeight="1">
      <c r="A40" s="17" t="n">
        <v>36</v>
      </c>
      <c r="B40" s="6" t="inlineStr">
        <is>
          <t>Válvula Termostática</t>
        </is>
      </c>
      <c r="C40" s="18" t="n">
        <v>80000</v>
      </c>
      <c r="D40" s="19" t="inlineStr">
        <is>
          <t>Trocar se superaquecer</t>
        </is>
      </c>
    </row>
    <row r="41" ht="20" customHeight="1">
      <c r="A41" s="13" t="n">
        <v>37</v>
      </c>
      <c r="B41" s="14" t="inlineStr">
        <is>
          <t>Mangueiras do Radiador (superior/inferior)</t>
        </is>
      </c>
      <c r="C41" s="15" t="n">
        <v>60000</v>
      </c>
      <c r="D41" s="16" t="inlineStr">
        <is>
          <t>Verificar ressecamento</t>
        </is>
      </c>
    </row>
    <row r="42" ht="20" customHeight="1">
      <c r="A42" s="17" t="n">
        <v>38</v>
      </c>
      <c r="B42" s="6" t="inlineStr">
        <is>
          <t>Óleo do Câmbio (Manual)</t>
        </is>
      </c>
      <c r="C42" s="18" t="n">
        <v>40000</v>
      </c>
      <c r="D42" s="19" t="inlineStr">
        <is>
          <t>Trocar a cada 40.000 km</t>
        </is>
      </c>
    </row>
    <row r="43" ht="20" customHeight="1">
      <c r="A43" s="13" t="n">
        <v>39</v>
      </c>
      <c r="B43" s="14" t="inlineStr">
        <is>
          <t>Óleo do Diferencial</t>
        </is>
      </c>
      <c r="C43" s="15" t="n">
        <v>40000</v>
      </c>
      <c r="D43" s="16" t="inlineStr">
        <is>
          <t>Trocar a cada 40.000 km</t>
        </is>
      </c>
    </row>
    <row r="44" ht="20" customHeight="1">
      <c r="A44" s="17" t="n">
        <v>40</v>
      </c>
      <c r="B44" s="6" t="inlineStr">
        <is>
          <t>Cruzetas do Cardan (jogo)</t>
        </is>
      </c>
      <c r="C44" s="18" t="n">
        <v>60000</v>
      </c>
      <c r="D44" s="19" t="inlineStr">
        <is>
          <t>Engraxar a cada 10.000 km</t>
        </is>
      </c>
    </row>
    <row r="45" ht="20" customHeight="1">
      <c r="A45" s="13" t="n">
        <v>41</v>
      </c>
      <c r="B45" s="14" t="inlineStr">
        <is>
          <t>Rolamento da Roda Dianteira (par)</t>
        </is>
      </c>
      <c r="C45" s="15" t="n">
        <v>80000</v>
      </c>
      <c r="D45" s="16" t="inlineStr">
        <is>
          <t>Verificar folga</t>
        </is>
      </c>
    </row>
    <row r="46" ht="20" customHeight="1">
      <c r="A46" s="17" t="n">
        <v>42</v>
      </c>
      <c r="B46" s="6" t="inlineStr">
        <is>
          <t>Rolamento da Roda Traseira (par)</t>
        </is>
      </c>
      <c r="C46" s="18" t="n">
        <v>100000</v>
      </c>
      <c r="D46" s="19" t="inlineStr">
        <is>
          <t>Verificar folga</t>
        </is>
      </c>
    </row>
    <row r="47" ht="20" customHeight="1">
      <c r="A47" s="13" t="n">
        <v>43</v>
      </c>
      <c r="B47" s="14" t="inlineStr">
        <is>
          <t>Pneu Dianteiro (par)</t>
        </is>
      </c>
      <c r="C47" s="15" t="n">
        <v>50000</v>
      </c>
      <c r="D47" s="16" t="inlineStr">
        <is>
          <t>Verificar desgaste e calibragem</t>
        </is>
      </c>
    </row>
    <row r="48" ht="20" customHeight="1">
      <c r="A48" s="17" t="n">
        <v>44</v>
      </c>
      <c r="B48" s="6" t="inlineStr">
        <is>
          <t>Pneu Traseiro (par)</t>
        </is>
      </c>
      <c r="C48" s="18" t="n">
        <v>40000</v>
      </c>
      <c r="D48" s="19" t="inlineStr">
        <is>
          <t>Carga pesada reduz vida útil</t>
        </is>
      </c>
    </row>
    <row r="49" ht="20" customHeight="1">
      <c r="A49" s="13" t="n">
        <v>45</v>
      </c>
      <c r="B49" s="14" t="inlineStr">
        <is>
          <t>Alinhamento e Balanceamento</t>
        </is>
      </c>
      <c r="C49" s="15" t="n">
        <v>10000</v>
      </c>
      <c r="D49" s="16" t="inlineStr">
        <is>
          <t>A cada troca de pneu ou 10.000 km</t>
        </is>
      </c>
    </row>
    <row r="50" ht="20" customHeight="1">
      <c r="A50" s="17" t="n">
        <v>46</v>
      </c>
      <c r="B50" s="6" t="inlineStr">
        <is>
          <t>Escapamento Completo</t>
        </is>
      </c>
      <c r="C50" s="18" t="n">
        <v>100000</v>
      </c>
      <c r="D50" s="19" t="inlineStr">
        <is>
          <t>Verificar corrosão e furos</t>
        </is>
      </c>
    </row>
    <row r="51" ht="20" customHeight="1">
      <c r="A51" s="13" t="n">
        <v>47</v>
      </c>
      <c r="B51" s="14" t="inlineStr">
        <is>
          <t>Catalisador</t>
        </is>
      </c>
      <c r="C51" s="15" t="n">
        <v>150000</v>
      </c>
      <c r="D51" s="16" t="inlineStr">
        <is>
          <t>Verificar emissão de gases</t>
        </is>
      </c>
    </row>
    <row r="52" ht="20" customHeight="1">
      <c r="A52" s="17" t="n">
        <v>48</v>
      </c>
      <c r="B52" s="6" t="inlineStr">
        <is>
          <t>Sensor de Temperatura</t>
        </is>
      </c>
      <c r="C52" s="18" t="n">
        <v>100000</v>
      </c>
      <c r="D52" s="19" t="inlineStr">
        <is>
          <t>Trocar se falhar</t>
        </is>
      </c>
    </row>
    <row r="53" ht="20" customHeight="1">
      <c r="A53" s="13" t="n">
        <v>49</v>
      </c>
      <c r="B53" s="14" t="inlineStr">
        <is>
          <t>Sensor de Pressão do Óleo</t>
        </is>
      </c>
      <c r="C53" s="15" t="n">
        <v>100000</v>
      </c>
      <c r="D53" s="16" t="inlineStr">
        <is>
          <t>Trocar se falhar</t>
        </is>
      </c>
    </row>
    <row r="54" ht="20" customHeight="1">
      <c r="A54" s="17" t="n">
        <v>50</v>
      </c>
      <c r="B54" s="6" t="inlineStr">
        <is>
          <t>Junta do Cabeçote</t>
        </is>
      </c>
      <c r="C54" s="18" t="n">
        <v>200000</v>
      </c>
      <c r="D54" s="19" t="inlineStr">
        <is>
          <t>Trocar se houver vazamento/superaquecimento</t>
        </is>
      </c>
    </row>
    <row r="57" ht="26" customHeight="1">
      <c r="A57" s="4" t="inlineStr">
        <is>
          <t>KIA BONGO 2014 — 2.5 TURBO DIESEL</t>
        </is>
      </c>
    </row>
    <row r="58" ht="32" customHeight="1">
      <c r="A58" s="12" t="inlineStr">
        <is>
          <t>Nº</t>
        </is>
      </c>
      <c r="B58" s="12" t="inlineStr">
        <is>
          <t>Peça / Componente</t>
        </is>
      </c>
      <c r="C58" s="12" t="inlineStr">
        <is>
          <t>Km Preventivo</t>
        </is>
      </c>
      <c r="D58" s="12" t="inlineStr">
        <is>
          <t>Observação</t>
        </is>
      </c>
    </row>
    <row r="59" ht="20" customHeight="1">
      <c r="A59" s="13" t="n">
        <v>1</v>
      </c>
      <c r="B59" s="14" t="inlineStr">
        <is>
          <t>Óleo do Motor 5W-30 (Diesel)</t>
        </is>
      </c>
      <c r="C59" s="15" t="n">
        <v>10000</v>
      </c>
      <c r="D59" s="16" t="inlineStr">
        <is>
          <t>Troca a cada 10.000 km</t>
        </is>
      </c>
    </row>
    <row r="60" ht="20" customHeight="1">
      <c r="A60" s="17" t="n">
        <v>2</v>
      </c>
      <c r="B60" s="6" t="inlineStr">
        <is>
          <t>Filtro de Óleo</t>
        </is>
      </c>
      <c r="C60" s="18" t="n">
        <v>10000</v>
      </c>
      <c r="D60" s="19" t="inlineStr">
        <is>
          <t>Trocar junto com o óleo</t>
        </is>
      </c>
    </row>
    <row r="61" ht="20" customHeight="1">
      <c r="A61" s="13" t="n">
        <v>3</v>
      </c>
      <c r="B61" s="14" t="inlineStr">
        <is>
          <t>Filtro de Combustível (Primário)</t>
        </is>
      </c>
      <c r="C61" s="15" t="n">
        <v>20000</v>
      </c>
      <c r="D61" s="16" t="inlineStr">
        <is>
          <t>Trocar a cada 20.000 km</t>
        </is>
      </c>
    </row>
    <row r="62" ht="20" customHeight="1">
      <c r="A62" s="17" t="n">
        <v>4</v>
      </c>
      <c r="B62" s="6" t="inlineStr">
        <is>
          <t>Filtro de Combustível (Secundário)</t>
        </is>
      </c>
      <c r="C62" s="18" t="n">
        <v>20000</v>
      </c>
      <c r="D62" s="19" t="inlineStr">
        <is>
          <t>Trocar junto com o primário</t>
        </is>
      </c>
    </row>
    <row r="63" ht="20" customHeight="1">
      <c r="A63" s="13" t="n">
        <v>5</v>
      </c>
      <c r="B63" s="14" t="inlineStr">
        <is>
          <t>Filtro de Ar do Motor</t>
        </is>
      </c>
      <c r="C63" s="15" t="n">
        <v>20000</v>
      </c>
      <c r="D63" s="16" t="inlineStr">
        <is>
          <t>Trocar a cada 20.000 km</t>
        </is>
      </c>
    </row>
    <row r="64" ht="20" customHeight="1">
      <c r="A64" s="17" t="n">
        <v>6</v>
      </c>
      <c r="B64" s="6" t="inlineStr">
        <is>
          <t>Filtro de Ar Condicionado (Cabine)</t>
        </is>
      </c>
      <c r="C64" s="18" t="n">
        <v>15000</v>
      </c>
      <c r="D64" s="19" t="inlineStr">
        <is>
          <t>Trocar a cada 15.000 km</t>
        </is>
      </c>
    </row>
    <row r="65" ht="20" customHeight="1">
      <c r="A65" s="13" t="n">
        <v>7</v>
      </c>
      <c r="B65" s="14" t="inlineStr">
        <is>
          <t>Correia Dentada</t>
        </is>
      </c>
      <c r="C65" s="15" t="n">
        <v>80000</v>
      </c>
      <c r="D65" s="16" t="inlineStr">
        <is>
          <t>CRÍTICO — Bongo troca a cada 80.000 km</t>
        </is>
      </c>
    </row>
    <row r="66" ht="20" customHeight="1">
      <c r="A66" s="17" t="n">
        <v>8</v>
      </c>
      <c r="B66" s="6" t="inlineStr">
        <is>
          <t>Correia do Alternador/Acessórios</t>
        </is>
      </c>
      <c r="C66" s="18" t="n">
        <v>50000</v>
      </c>
      <c r="D66" s="19" t="inlineStr">
        <is>
          <t>Verificar tensão periódica</t>
        </is>
      </c>
    </row>
    <row r="67" ht="20" customHeight="1">
      <c r="A67" s="13" t="n">
        <v>9</v>
      </c>
      <c r="B67" s="14" t="inlineStr">
        <is>
          <t>Tensor da Correia Dentada</t>
        </is>
      </c>
      <c r="C67" s="15" t="n">
        <v>80000</v>
      </c>
      <c r="D67" s="16" t="inlineStr">
        <is>
          <t>Trocar junto com a correia</t>
        </is>
      </c>
    </row>
    <row r="68" ht="20" customHeight="1">
      <c r="A68" s="17" t="n">
        <v>10</v>
      </c>
      <c r="B68" s="6" t="inlineStr">
        <is>
          <t>Bomba d'Água</t>
        </is>
      </c>
      <c r="C68" s="18" t="n">
        <v>80000</v>
      </c>
      <c r="D68" s="19" t="inlineStr">
        <is>
          <t>Trocar junto com a correia dentada</t>
        </is>
      </c>
    </row>
    <row r="69" ht="20" customHeight="1">
      <c r="A69" s="13" t="n">
        <v>11</v>
      </c>
      <c r="B69" s="14" t="inlineStr">
        <is>
          <t>Kit de Embreagem (Disco + Platô + Rolamento)</t>
        </is>
      </c>
      <c r="C69" s="15" t="n">
        <v>70000</v>
      </c>
      <c r="D69" s="16" t="inlineStr">
        <is>
          <t>Média 70.000 km no Bongo</t>
        </is>
      </c>
    </row>
    <row r="70" ht="20" customHeight="1">
      <c r="A70" s="17" t="n">
        <v>12</v>
      </c>
      <c r="B70" s="6" t="inlineStr">
        <is>
          <t>Atuador Hidráulico da Embreagem</t>
        </is>
      </c>
      <c r="C70" s="18" t="n">
        <v>70000</v>
      </c>
      <c r="D70" s="19" t="inlineStr">
        <is>
          <t>Trocar junto se necessário</t>
        </is>
      </c>
    </row>
    <row r="71" ht="20" customHeight="1">
      <c r="A71" s="13" t="n">
        <v>13</v>
      </c>
      <c r="B71" s="14" t="inlineStr">
        <is>
          <t>Fluido de Embreagem</t>
        </is>
      </c>
      <c r="C71" s="15" t="n">
        <v>30000</v>
      </c>
      <c r="D71" s="16" t="inlineStr">
        <is>
          <t>Trocar a cada 30.000 km</t>
        </is>
      </c>
    </row>
    <row r="72" ht="20" customHeight="1">
      <c r="A72" s="17" t="n">
        <v>14</v>
      </c>
      <c r="B72" s="6" t="inlineStr">
        <is>
          <t>Pastilhas de Freio Dianteiras</t>
        </is>
      </c>
      <c r="C72" s="18" t="n">
        <v>25000</v>
      </c>
      <c r="D72" s="19" t="inlineStr">
        <is>
          <t>Bongo — verificar a cada 12.000 km</t>
        </is>
      </c>
    </row>
    <row r="73" ht="20" customHeight="1">
      <c r="A73" s="13" t="n">
        <v>15</v>
      </c>
      <c r="B73" s="14" t="inlineStr">
        <is>
          <t>Lonas de Freio Traseiras</t>
        </is>
      </c>
      <c r="C73" s="15" t="n">
        <v>35000</v>
      </c>
      <c r="D73" s="16" t="inlineStr">
        <is>
          <t>Verificar a cada 15.000 km</t>
        </is>
      </c>
    </row>
    <row r="74" ht="20" customHeight="1">
      <c r="A74" s="17" t="n">
        <v>16</v>
      </c>
      <c r="B74" s="6" t="inlineStr">
        <is>
          <t>Disco de Freio Dianteiro</t>
        </is>
      </c>
      <c r="C74" s="18" t="n">
        <v>50000</v>
      </c>
      <c r="D74" s="19" t="inlineStr">
        <is>
          <t>Trocar a cada 2 trocas de pastilha</t>
        </is>
      </c>
    </row>
    <row r="75" ht="20" customHeight="1">
      <c r="A75" s="13" t="n">
        <v>17</v>
      </c>
      <c r="B75" s="14" t="inlineStr">
        <is>
          <t>Tambor de Freio Traseiro</t>
        </is>
      </c>
      <c r="C75" s="15" t="n">
        <v>70000</v>
      </c>
      <c r="D75" s="16" t="inlineStr">
        <is>
          <t>Verificar junto com as lonas</t>
        </is>
      </c>
    </row>
    <row r="76" ht="20" customHeight="1">
      <c r="A76" s="17" t="n">
        <v>18</v>
      </c>
      <c r="B76" s="6" t="inlineStr">
        <is>
          <t>Fluido de Freio DOT4</t>
        </is>
      </c>
      <c r="C76" s="18" t="n">
        <v>20000</v>
      </c>
      <c r="D76" s="19" t="inlineStr">
        <is>
          <t>Trocar a cada 20.000 km ou 1 ano</t>
        </is>
      </c>
    </row>
    <row r="77" ht="20" customHeight="1">
      <c r="A77" s="13" t="n">
        <v>19</v>
      </c>
      <c r="B77" s="14" t="inlineStr">
        <is>
          <t>Cilindro Mestre de Freio</t>
        </is>
      </c>
      <c r="C77" s="15" t="n">
        <v>100000</v>
      </c>
      <c r="D77" s="16" t="inlineStr">
        <is>
          <t>Trocar se vazar</t>
        </is>
      </c>
    </row>
    <row r="78" ht="20" customHeight="1">
      <c r="A78" s="17" t="n">
        <v>20</v>
      </c>
      <c r="B78" s="6" t="inlineStr">
        <is>
          <t>Óleo da Direção Hidráulica</t>
        </is>
      </c>
      <c r="C78" s="18" t="n">
        <v>40000</v>
      </c>
      <c r="D78" s="19" t="inlineStr">
        <is>
          <t>Trocar a cada 40.000 km</t>
        </is>
      </c>
    </row>
    <row r="79" ht="20" customHeight="1">
      <c r="A79" s="13" t="n">
        <v>21</v>
      </c>
      <c r="B79" s="14" t="inlineStr">
        <is>
          <t>Bomba da Direção Hidráulica</t>
        </is>
      </c>
      <c r="C79" s="15" t="n">
        <v>120000</v>
      </c>
      <c r="D79" s="16" t="inlineStr">
        <is>
          <t>Verificar vazamento e ruído</t>
        </is>
      </c>
    </row>
    <row r="80" ht="20" customHeight="1">
      <c r="A80" s="17" t="n">
        <v>22</v>
      </c>
      <c r="B80" s="6" t="inlineStr">
        <is>
          <t>Amortecedores Dianteiros (par)</t>
        </is>
      </c>
      <c r="C80" s="18" t="n">
        <v>50000</v>
      </c>
      <c r="D80" s="19" t="inlineStr">
        <is>
          <t>Bongo — 50.000 km (mais rígido)</t>
        </is>
      </c>
    </row>
    <row r="81" ht="20" customHeight="1">
      <c r="A81" s="13" t="n">
        <v>23</v>
      </c>
      <c r="B81" s="14" t="inlineStr">
        <is>
          <t>Amortecedores Traseiros (par)</t>
        </is>
      </c>
      <c r="C81" s="15" t="n">
        <v>50000</v>
      </c>
      <c r="D81" s="16" t="inlineStr">
        <is>
          <t>Trocar a cada 50.000 km</t>
        </is>
      </c>
    </row>
    <row r="82" ht="20" customHeight="1">
      <c r="A82" s="17" t="n">
        <v>24</v>
      </c>
      <c r="B82" s="6" t="inlineStr">
        <is>
          <t>Feixe de Molas Traseiro</t>
        </is>
      </c>
      <c r="C82" s="18" t="n">
        <v>100000</v>
      </c>
      <c r="D82" s="19" t="inlineStr">
        <is>
          <t>Verificar arqueamento e folhas</t>
        </is>
      </c>
    </row>
    <row r="83" ht="20" customHeight="1">
      <c r="A83" s="13" t="n">
        <v>25</v>
      </c>
      <c r="B83" s="14" t="inlineStr">
        <is>
          <t>Molas Dianteiras (par)</t>
        </is>
      </c>
      <c r="C83" s="15" t="n">
        <v>80000</v>
      </c>
      <c r="D83" s="16" t="inlineStr">
        <is>
          <t>Verificar a cada 40.000 km</t>
        </is>
      </c>
    </row>
    <row r="84" ht="20" customHeight="1">
      <c r="A84" s="17" t="n">
        <v>26</v>
      </c>
      <c r="B84" s="6" t="inlineStr">
        <is>
          <t>Buchas da Suspensão (jogo)</t>
        </is>
      </c>
      <c r="C84" s="18" t="n">
        <v>60000</v>
      </c>
      <c r="D84" s="19" t="inlineStr">
        <is>
          <t>Trocar quando folgar</t>
        </is>
      </c>
    </row>
    <row r="85" ht="20" customHeight="1">
      <c r="A85" s="13" t="n">
        <v>27</v>
      </c>
      <c r="B85" s="14" t="inlineStr">
        <is>
          <t>Pivô de Direção (par)</t>
        </is>
      </c>
      <c r="C85" s="15" t="n">
        <v>50000</v>
      </c>
      <c r="D85" s="16" t="inlineStr">
        <is>
          <t>Verificar folga</t>
        </is>
      </c>
    </row>
    <row r="86" ht="20" customHeight="1">
      <c r="A86" s="17" t="n">
        <v>28</v>
      </c>
      <c r="B86" s="6" t="inlineStr">
        <is>
          <t>Terminais de Direção (par)</t>
        </is>
      </c>
      <c r="C86" s="18" t="n">
        <v>40000</v>
      </c>
      <c r="D86" s="19" t="inlineStr">
        <is>
          <t>Verificar folga e alinhamento</t>
        </is>
      </c>
    </row>
    <row r="87" ht="20" customHeight="1">
      <c r="A87" s="13" t="n">
        <v>29</v>
      </c>
      <c r="B87" s="14" t="inlineStr">
        <is>
          <t>Barra de Direção</t>
        </is>
      </c>
      <c r="C87" s="15" t="n">
        <v>70000</v>
      </c>
      <c r="D87" s="16" t="inlineStr">
        <is>
          <t>Verificar alinhamento</t>
        </is>
      </c>
    </row>
    <row r="88" ht="20" customHeight="1">
      <c r="A88" s="17" t="n">
        <v>30</v>
      </c>
      <c r="B88" s="6" t="inlineStr">
        <is>
          <t>Braço Auxiliar de Direção</t>
        </is>
      </c>
      <c r="C88" s="18" t="n">
        <v>80000</v>
      </c>
      <c r="D88" s="19" t="inlineStr">
        <is>
          <t>Verificar folga</t>
        </is>
      </c>
    </row>
    <row r="89" ht="20" customHeight="1">
      <c r="A89" s="13" t="n">
        <v>31</v>
      </c>
      <c r="B89" s="14" t="inlineStr">
        <is>
          <t>Bateria 60Ah</t>
        </is>
      </c>
      <c r="C89" s="15" t="n">
        <v>40000</v>
      </c>
      <c r="D89" s="16" t="inlineStr">
        <is>
          <t>Vida útil ~2 anos ou 40.000 km</t>
        </is>
      </c>
    </row>
    <row r="90" ht="20" customHeight="1">
      <c r="A90" s="17" t="n">
        <v>32</v>
      </c>
      <c r="B90" s="6" t="inlineStr">
        <is>
          <t>Alternador</t>
        </is>
      </c>
      <c r="C90" s="18" t="n">
        <v>120000</v>
      </c>
      <c r="D90" s="19" t="inlineStr">
        <is>
          <t>Verificar carga regularmente</t>
        </is>
      </c>
    </row>
    <row r="91" ht="20" customHeight="1">
      <c r="A91" s="13" t="n">
        <v>33</v>
      </c>
      <c r="B91" s="14" t="inlineStr">
        <is>
          <t>Motor de Arranque</t>
        </is>
      </c>
      <c r="C91" s="15" t="n">
        <v>120000</v>
      </c>
      <c r="D91" s="16" t="inlineStr">
        <is>
          <t>Verificar funcionamento</t>
        </is>
      </c>
    </row>
    <row r="92" ht="20" customHeight="1">
      <c r="A92" s="17" t="n">
        <v>34</v>
      </c>
      <c r="B92" s="6" t="inlineStr">
        <is>
          <t>Velas de Aquecimento (jogo 4)</t>
        </is>
      </c>
      <c r="C92" s="18" t="n">
        <v>50000</v>
      </c>
      <c r="D92" s="19" t="inlineStr">
        <is>
          <t>Essenciais — diesel Bongo</t>
        </is>
      </c>
    </row>
    <row r="93" ht="20" customHeight="1">
      <c r="A93" s="13" t="n">
        <v>35</v>
      </c>
      <c r="B93" s="14" t="inlineStr">
        <is>
          <t>Bomba Injetora</t>
        </is>
      </c>
      <c r="C93" s="15" t="n">
        <v>180000</v>
      </c>
      <c r="D93" s="16" t="inlineStr">
        <is>
          <t>Revisão a cada 80.000 km</t>
        </is>
      </c>
    </row>
    <row r="94" ht="20" customHeight="1">
      <c r="A94" s="17" t="n">
        <v>36</v>
      </c>
      <c r="B94" s="6" t="inlineStr">
        <is>
          <t>Bicos Injetores (jogo 4)</t>
        </is>
      </c>
      <c r="C94" s="18" t="n">
        <v>120000</v>
      </c>
      <c r="D94" s="19" t="inlineStr">
        <is>
          <t>Limpeza a cada 40.000 km</t>
        </is>
      </c>
    </row>
    <row r="95" ht="20" customHeight="1">
      <c r="A95" s="13" t="n">
        <v>37</v>
      </c>
      <c r="B95" s="14" t="inlineStr">
        <is>
          <t>Turbina / Turbocompressor</t>
        </is>
      </c>
      <c r="C95" s="15" t="n">
        <v>180000</v>
      </c>
      <c r="D95" s="16" t="inlineStr">
        <is>
          <t>Verificar folga e vazamento</t>
        </is>
      </c>
    </row>
    <row r="96" ht="20" customHeight="1">
      <c r="A96" s="17" t="n">
        <v>38</v>
      </c>
      <c r="B96" s="6" t="inlineStr">
        <is>
          <t>Intercooler</t>
        </is>
      </c>
      <c r="C96" s="18" t="n">
        <v>180000</v>
      </c>
      <c r="D96" s="19" t="inlineStr">
        <is>
          <t>Limpeza periódica</t>
        </is>
      </c>
    </row>
    <row r="97" ht="20" customHeight="1">
      <c r="A97" s="13" t="n">
        <v>39</v>
      </c>
      <c r="B97" s="14" t="inlineStr">
        <is>
          <t>Radiador</t>
        </is>
      </c>
      <c r="C97" s="15" t="n">
        <v>120000</v>
      </c>
      <c r="D97" s="16" t="inlineStr">
        <is>
          <t>Verificar a cada troca de líquido</t>
        </is>
      </c>
    </row>
    <row r="98" ht="20" customHeight="1">
      <c r="A98" s="17" t="n">
        <v>40</v>
      </c>
      <c r="B98" s="6" t="inlineStr">
        <is>
          <t>Líquido de Arrefecimento</t>
        </is>
      </c>
      <c r="C98" s="18" t="n">
        <v>30000</v>
      </c>
      <c r="D98" s="19" t="inlineStr">
        <is>
          <t>Trocar a cada 30.000 km ou 1 ano</t>
        </is>
      </c>
    </row>
    <row r="99" ht="20" customHeight="1">
      <c r="A99" s="13" t="n">
        <v>41</v>
      </c>
      <c r="B99" s="14" t="inlineStr">
        <is>
          <t>Válvula Termostática</t>
        </is>
      </c>
      <c r="C99" s="15" t="n">
        <v>60000</v>
      </c>
      <c r="D99" s="16" t="inlineStr">
        <is>
          <t>Trocar se superaquecer</t>
        </is>
      </c>
    </row>
    <row r="100" ht="20" customHeight="1">
      <c r="A100" s="17" t="n">
        <v>42</v>
      </c>
      <c r="B100" s="6" t="inlineStr">
        <is>
          <t>Mangueiras do Radiador (superior/inferior)</t>
        </is>
      </c>
      <c r="C100" s="18" t="n">
        <v>50000</v>
      </c>
      <c r="D100" s="19" t="inlineStr">
        <is>
          <t>Verificar ressecamento</t>
        </is>
      </c>
    </row>
    <row r="101" ht="20" customHeight="1">
      <c r="A101" s="13" t="n">
        <v>43</v>
      </c>
      <c r="B101" s="14" t="inlineStr">
        <is>
          <t>Ventoinha do Radiador (Viscosa)</t>
        </is>
      </c>
      <c r="C101" s="15" t="n">
        <v>100000</v>
      </c>
      <c r="D101" s="16" t="inlineStr">
        <is>
          <t>Verificar arraste</t>
        </is>
      </c>
    </row>
    <row r="102" ht="20" customHeight="1">
      <c r="A102" s="17" t="n">
        <v>44</v>
      </c>
      <c r="B102" s="6" t="inlineStr">
        <is>
          <t>Óleo do Câmbio (Manual)</t>
        </is>
      </c>
      <c r="C102" s="18" t="n">
        <v>40000</v>
      </c>
      <c r="D102" s="19" t="inlineStr">
        <is>
          <t>Trocar a cada 40.000 km</t>
        </is>
      </c>
    </row>
    <row r="103" ht="20" customHeight="1">
      <c r="A103" s="13" t="n">
        <v>45</v>
      </c>
      <c r="B103" s="14" t="inlineStr">
        <is>
          <t>Óleo do Diferencial</t>
        </is>
      </c>
      <c r="C103" s="15" t="n">
        <v>40000</v>
      </c>
      <c r="D103" s="16" t="inlineStr">
        <is>
          <t>Trocar a cada 40.000 km</t>
        </is>
      </c>
    </row>
    <row r="104" ht="20" customHeight="1">
      <c r="A104" s="17" t="n">
        <v>46</v>
      </c>
      <c r="B104" s="6" t="inlineStr">
        <is>
          <t>Cruzetas do Cardan (jogo)</t>
        </is>
      </c>
      <c r="C104" s="18" t="n">
        <v>50000</v>
      </c>
      <c r="D104" s="19" t="inlineStr">
        <is>
          <t>Engraxar a cada 10.000 km</t>
        </is>
      </c>
    </row>
    <row r="105" ht="20" customHeight="1">
      <c r="A105" s="13" t="n">
        <v>47</v>
      </c>
      <c r="B105" s="14" t="inlineStr">
        <is>
          <t>Rolamento da Roda Dianteira (par)</t>
        </is>
      </c>
      <c r="C105" s="15" t="n">
        <v>70000</v>
      </c>
      <c r="D105" s="16" t="inlineStr">
        <is>
          <t>Verificar folga e ruído</t>
        </is>
      </c>
    </row>
    <row r="106" ht="20" customHeight="1">
      <c r="A106" s="17" t="n">
        <v>48</v>
      </c>
      <c r="B106" s="6" t="inlineStr">
        <is>
          <t>Rolamento da Roda Traseira (par)</t>
        </is>
      </c>
      <c r="C106" s="18" t="n">
        <v>80000</v>
      </c>
      <c r="D106" s="19" t="inlineStr">
        <is>
          <t>Verificar folga</t>
        </is>
      </c>
    </row>
    <row r="107" ht="20" customHeight="1">
      <c r="A107" s="13" t="n">
        <v>49</v>
      </c>
      <c r="B107" s="14" t="inlineStr">
        <is>
          <t>Pneu Dianteiro (par)</t>
        </is>
      </c>
      <c r="C107" s="15" t="n">
        <v>45000</v>
      </c>
      <c r="D107" s="16" t="inlineStr">
        <is>
          <t>Verificar desgaste</t>
        </is>
      </c>
    </row>
    <row r="108" ht="20" customHeight="1">
      <c r="A108" s="17" t="n">
        <v>50</v>
      </c>
      <c r="B108" s="6" t="inlineStr">
        <is>
          <t>Pneu Traseiro (par)</t>
        </is>
      </c>
      <c r="C108" s="18" t="n">
        <v>35000</v>
      </c>
      <c r="D108" s="19" t="inlineStr">
        <is>
          <t>Carga pesada — vida útil menor</t>
        </is>
      </c>
    </row>
    <row r="109" ht="20" customHeight="1">
      <c r="A109" s="13" t="n">
        <v>51</v>
      </c>
      <c r="B109" s="14" t="inlineStr">
        <is>
          <t>Alinhamento e Balanceamento</t>
        </is>
      </c>
      <c r="C109" s="15" t="n">
        <v>10000</v>
      </c>
      <c r="D109" s="16" t="inlineStr">
        <is>
          <t>A cada troca ou 10.000 km</t>
        </is>
      </c>
    </row>
    <row r="110" ht="20" customHeight="1">
      <c r="A110" s="17" t="n">
        <v>52</v>
      </c>
      <c r="B110" s="6" t="inlineStr">
        <is>
          <t>Escapamento Completo</t>
        </is>
      </c>
      <c r="C110" s="18" t="n">
        <v>80000</v>
      </c>
      <c r="D110" s="19" t="inlineStr">
        <is>
          <t>Verificar corrosão</t>
        </is>
      </c>
    </row>
    <row r="111" ht="20" customHeight="1">
      <c r="A111" s="13" t="n">
        <v>53</v>
      </c>
      <c r="B111" s="14" t="inlineStr">
        <is>
          <t>Catalisador / DPF</t>
        </is>
      </c>
      <c r="C111" s="15" t="n">
        <v>120000</v>
      </c>
      <c r="D111" s="16" t="inlineStr">
        <is>
          <t>Verificar emissão</t>
        </is>
      </c>
    </row>
    <row r="112" ht="20" customHeight="1">
      <c r="A112" s="17" t="n">
        <v>54</v>
      </c>
      <c r="B112" s="6" t="inlineStr">
        <is>
          <t>Sensor de Temperatura</t>
        </is>
      </c>
      <c r="C112" s="18" t="n">
        <v>80000</v>
      </c>
      <c r="D112" s="19" t="inlineStr">
        <is>
          <t>Trocar se falhar</t>
        </is>
      </c>
    </row>
    <row r="113" ht="20" customHeight="1">
      <c r="A113" s="13" t="n">
        <v>55</v>
      </c>
      <c r="B113" s="14" t="inlineStr">
        <is>
          <t>Sensor MAP / Pressão Turbo</t>
        </is>
      </c>
      <c r="C113" s="15" t="n">
        <v>100000</v>
      </c>
      <c r="D113" s="16" t="inlineStr">
        <is>
          <t>Verificar se motor falhar</t>
        </is>
      </c>
    </row>
    <row r="114" ht="20" customHeight="1">
      <c r="A114" s="17" t="n">
        <v>56</v>
      </c>
      <c r="B114" s="6" t="inlineStr">
        <is>
          <t>Junta do Cabeçote</t>
        </is>
      </c>
      <c r="C114" s="18" t="n">
        <v>180000</v>
      </c>
      <c r="D114" s="19" t="inlineStr">
        <is>
          <t>Trocar se houver superaquecimento</t>
        </is>
      </c>
    </row>
    <row r="115" ht="20" customHeight="1">
      <c r="A115" s="13" t="n">
        <v>57</v>
      </c>
      <c r="B115" s="14" t="inlineStr">
        <is>
          <t>Válvula EGR</t>
        </is>
      </c>
      <c r="C115" s="15" t="n">
        <v>80000</v>
      </c>
      <c r="D115" s="16" t="inlineStr">
        <is>
          <t>Limpeza ou troca — comum no Bongo</t>
        </is>
      </c>
    </row>
  </sheetData>
  <mergeCells count="3">
    <mergeCell ref="A57:G57"/>
    <mergeCell ref="A3:G3"/>
    <mergeCell ref="A1:G1"/>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1A5276"/>
    <outlinePr summaryBelow="1" summaryRight="1"/>
    <pageSetUpPr fitToPage="1"/>
  </sheetPr>
  <dimension ref="A1:O154"/>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16" customWidth="1" min="3" max="3"/>
    <col width="38" customWidth="1" min="4" max="4"/>
    <col width="18" customWidth="1" min="5" max="5"/>
    <col width="24" customWidth="1" min="6" max="6"/>
    <col width="16" customWidth="1" min="7" max="7"/>
    <col width="18" customWidth="1" min="8" max="8"/>
    <col width="22" customWidth="1" min="9" max="9"/>
    <col width="18" customWidth="1" min="10" max="10"/>
    <col width="18" customWidth="1" min="11" max="11"/>
    <col width="30" customWidth="1" min="12" max="12"/>
    <col hidden="1" width="13" customWidth="1" min="14" max="14"/>
    <col hidden="1" width="13" customWidth="1" min="15" max="15"/>
  </cols>
  <sheetData>
    <row r="1" ht="38" customHeight="1">
      <c r="A1" s="20" t="inlineStr">
        <is>
          <t>MANUTENÇÃO PREVENTIVA — HR HYUNDAI 2018</t>
        </is>
      </c>
      <c r="B1" s="21" t="n"/>
      <c r="C1" s="21" t="n"/>
      <c r="D1" s="21" t="n"/>
      <c r="E1" s="21" t="n"/>
      <c r="F1" s="21" t="n"/>
      <c r="G1" s="21" t="n"/>
      <c r="H1" s="21" t="n"/>
      <c r="I1" s="21" t="n"/>
      <c r="J1" s="21" t="n"/>
      <c r="K1" s="21" t="n"/>
      <c r="L1" s="21" t="n"/>
      <c r="N1" t="inlineStr">
        <is>
          <t>Óleo do Motor 5W-30 (Diesel)</t>
        </is>
      </c>
      <c r="O1" t="n">
        <v>10000</v>
      </c>
    </row>
    <row r="2">
      <c r="N2" t="inlineStr">
        <is>
          <t>Filtro de Óleo</t>
        </is>
      </c>
      <c r="O2" t="n">
        <v>10000</v>
      </c>
    </row>
    <row r="3" ht="32" customHeight="1">
      <c r="A3" s="12" t="inlineStr">
        <is>
          <t>Nº</t>
        </is>
      </c>
      <c r="B3" s="12" t="inlineStr">
        <is>
          <t>Data</t>
        </is>
      </c>
      <c r="C3" s="12" t="inlineStr">
        <is>
          <t>Odômetro (km)</t>
        </is>
      </c>
      <c r="D3" s="12" t="inlineStr">
        <is>
          <t>Peça / Serviço</t>
        </is>
      </c>
      <c r="E3" s="12" t="inlineStr">
        <is>
          <t>Km Preventivo Ref.</t>
        </is>
      </c>
      <c r="F3" s="12" t="inlineStr">
        <is>
          <t>Oficina / Mecânico</t>
        </is>
      </c>
      <c r="G3" s="12" t="inlineStr">
        <is>
          <t>Valor (R$)</t>
        </is>
      </c>
      <c r="H3" s="12" t="inlineStr">
        <is>
          <t>Km da Última Troca</t>
        </is>
      </c>
      <c r="I3" s="12" t="inlineStr">
        <is>
          <t>Km Rodados desde Última</t>
        </is>
      </c>
      <c r="J3" s="12" t="inlineStr">
        <is>
          <t>Dias desde Última</t>
        </is>
      </c>
      <c r="K3" s="12" t="inlineStr">
        <is>
          <t>Próxima Troca (km)</t>
        </is>
      </c>
      <c r="L3" s="12" t="inlineStr">
        <is>
          <t>Observação</t>
        </is>
      </c>
      <c r="N3" t="inlineStr">
        <is>
          <t>Filtro de Combustível</t>
        </is>
      </c>
      <c r="O3" t="n">
        <v>20000</v>
      </c>
    </row>
    <row r="4" ht="22" customHeight="1">
      <c r="A4" s="22" t="n">
        <v>1</v>
      </c>
      <c r="B4" s="23" t="n"/>
      <c r="C4" s="24" t="n"/>
      <c r="D4" s="22" t="n"/>
      <c r="E4" s="24">
        <f>IF(D4="","",VLOOKUP(D4,$N$1:$O$50,2,FALSE))</f>
        <v/>
      </c>
      <c r="F4" s="22" t="n"/>
      <c r="G4" s="25" t="n"/>
      <c r="H4" s="24" t="n"/>
      <c r="I4" s="24">
        <f>IF(OR(C4="",H4=""),"",C4-H4)</f>
        <v/>
      </c>
      <c r="J4" s="26">
        <f>IF(OR(B4="",H4=""),"",B4-IFERROR(INDEX(B$4:B$153,MATCH(1,(D$4:D$153=D4)*(C$4:C$153=H4),0)),B4))</f>
        <v/>
      </c>
      <c r="K4" s="24">
        <f>IF(OR(C4="",E4=""),"",C4+E4)</f>
        <v/>
      </c>
      <c r="L4" s="22" t="n"/>
      <c r="N4" t="inlineStr">
        <is>
          <t>Filtro de Ar do Motor</t>
        </is>
      </c>
      <c r="O4" t="n">
        <v>20000</v>
      </c>
    </row>
    <row r="5" ht="22" customHeight="1">
      <c r="A5" s="27" t="n">
        <v>2</v>
      </c>
      <c r="B5" s="28" t="n"/>
      <c r="C5" s="29" t="n"/>
      <c r="D5" s="27" t="n"/>
      <c r="E5" s="29">
        <f>IF(D5="","",VLOOKUP(D5,$N$1:$O$50,2,FALSE))</f>
        <v/>
      </c>
      <c r="F5" s="27" t="n"/>
      <c r="G5" s="30" t="n"/>
      <c r="H5" s="29" t="n"/>
      <c r="I5" s="29">
        <f>IF(OR(C5="",H5=""),"",C5-H5)</f>
        <v/>
      </c>
      <c r="J5" s="31">
        <f>IF(OR(B5="",H5=""),"",B5-IFERROR(INDEX(B$4:B$153,MATCH(1,(D$4:D$153=D5)*(C$4:C$153=H5),0)),B5))</f>
        <v/>
      </c>
      <c r="K5" s="29">
        <f>IF(OR(C5="",E5=""),"",C5+E5)</f>
        <v/>
      </c>
      <c r="L5" s="27" t="n"/>
      <c r="N5" t="inlineStr">
        <is>
          <t>Filtro de Ar Condicionado (Cabine)</t>
        </is>
      </c>
      <c r="O5" t="n">
        <v>15000</v>
      </c>
    </row>
    <row r="6" ht="22" customHeight="1">
      <c r="A6" s="22" t="n">
        <v>3</v>
      </c>
      <c r="B6" s="23" t="n"/>
      <c r="C6" s="24" t="n"/>
      <c r="D6" s="22" t="n"/>
      <c r="E6" s="24">
        <f>IF(D6="","",VLOOKUP(D6,$N$1:$O$50,2,FALSE))</f>
        <v/>
      </c>
      <c r="F6" s="22" t="n"/>
      <c r="G6" s="25" t="n"/>
      <c r="H6" s="24" t="n"/>
      <c r="I6" s="24">
        <f>IF(OR(C6="",H6=""),"",C6-H6)</f>
        <v/>
      </c>
      <c r="J6" s="26">
        <f>IF(OR(B6="",H6=""),"",B6-IFERROR(INDEX(B$4:B$153,MATCH(1,(D$4:D$153=D6)*(C$4:C$153=H6),0)),B6))</f>
        <v/>
      </c>
      <c r="K6" s="24">
        <f>IF(OR(C6="",E6=""),"",C6+E6)</f>
        <v/>
      </c>
      <c r="L6" s="22" t="n"/>
      <c r="N6" t="inlineStr">
        <is>
          <t>Correia Dentada</t>
        </is>
      </c>
      <c r="O6" t="n">
        <v>100000</v>
      </c>
    </row>
    <row r="7" ht="22" customHeight="1">
      <c r="A7" s="27" t="n">
        <v>4</v>
      </c>
      <c r="B7" s="28" t="n"/>
      <c r="C7" s="29" t="n"/>
      <c r="D7" s="27" t="n"/>
      <c r="E7" s="29">
        <f>IF(D7="","",VLOOKUP(D7,$N$1:$O$50,2,FALSE))</f>
        <v/>
      </c>
      <c r="F7" s="27" t="n"/>
      <c r="G7" s="30" t="n"/>
      <c r="H7" s="29" t="n"/>
      <c r="I7" s="29">
        <f>IF(OR(C7="",H7=""),"",C7-H7)</f>
        <v/>
      </c>
      <c r="J7" s="31">
        <f>IF(OR(B7="",H7=""),"",B7-IFERROR(INDEX(B$4:B$153,MATCH(1,(D$4:D$153=D7)*(C$4:C$153=H7),0)),B7))</f>
        <v/>
      </c>
      <c r="K7" s="29">
        <f>IF(OR(C7="",E7=""),"",C7+E7)</f>
        <v/>
      </c>
      <c r="L7" s="27" t="n"/>
      <c r="N7" t="inlineStr">
        <is>
          <t>Correia do Alternador</t>
        </is>
      </c>
      <c r="O7" t="n">
        <v>60000</v>
      </c>
    </row>
    <row r="8" ht="22" customHeight="1">
      <c r="A8" s="22" t="n">
        <v>5</v>
      </c>
      <c r="B8" s="23" t="n"/>
      <c r="C8" s="24" t="n"/>
      <c r="D8" s="22" t="n"/>
      <c r="E8" s="24">
        <f>IF(D8="","",VLOOKUP(D8,$N$1:$O$50,2,FALSE))</f>
        <v/>
      </c>
      <c r="F8" s="22" t="n"/>
      <c r="G8" s="25" t="n"/>
      <c r="H8" s="24" t="n"/>
      <c r="I8" s="24">
        <f>IF(OR(C8="",H8=""),"",C8-H8)</f>
        <v/>
      </c>
      <c r="J8" s="26">
        <f>IF(OR(B8="",H8=""),"",B8-IFERROR(INDEX(B$4:B$153,MATCH(1,(D$4:D$153=D8)*(C$4:C$153=H8),0)),B8))</f>
        <v/>
      </c>
      <c r="K8" s="24">
        <f>IF(OR(C8="",E8=""),"",C8+E8)</f>
        <v/>
      </c>
      <c r="L8" s="22" t="n"/>
      <c r="N8" t="inlineStr">
        <is>
          <t>Tensor da Correia Dentada</t>
        </is>
      </c>
      <c r="O8" t="n">
        <v>100000</v>
      </c>
    </row>
    <row r="9" ht="22" customHeight="1">
      <c r="A9" s="27" t="n">
        <v>6</v>
      </c>
      <c r="B9" s="28" t="n"/>
      <c r="C9" s="29" t="n"/>
      <c r="D9" s="27" t="n"/>
      <c r="E9" s="29">
        <f>IF(D9="","",VLOOKUP(D9,$N$1:$O$50,2,FALSE))</f>
        <v/>
      </c>
      <c r="F9" s="27" t="n"/>
      <c r="G9" s="30" t="n"/>
      <c r="H9" s="29" t="n"/>
      <c r="I9" s="29">
        <f>IF(OR(C9="",H9=""),"",C9-H9)</f>
        <v/>
      </c>
      <c r="J9" s="31">
        <f>IF(OR(B9="",H9=""),"",B9-IFERROR(INDEX(B$4:B$153,MATCH(1,(D$4:D$153=D9)*(C$4:C$153=H9),0)),B9))</f>
        <v/>
      </c>
      <c r="K9" s="29">
        <f>IF(OR(C9="",E9=""),"",C9+E9)</f>
        <v/>
      </c>
      <c r="L9" s="27" t="n"/>
      <c r="N9" t="inlineStr">
        <is>
          <t>Bomba d'Água</t>
        </is>
      </c>
      <c r="O9" t="n">
        <v>100000</v>
      </c>
    </row>
    <row r="10" ht="22" customHeight="1">
      <c r="A10" s="22" t="n">
        <v>7</v>
      </c>
      <c r="B10" s="23" t="n"/>
      <c r="C10" s="24" t="n"/>
      <c r="D10" s="22" t="n"/>
      <c r="E10" s="24">
        <f>IF(D10="","",VLOOKUP(D10,$N$1:$O$50,2,FALSE))</f>
        <v/>
      </c>
      <c r="F10" s="22" t="n"/>
      <c r="G10" s="25" t="n"/>
      <c r="H10" s="24" t="n"/>
      <c r="I10" s="24">
        <f>IF(OR(C10="",H10=""),"",C10-H10)</f>
        <v/>
      </c>
      <c r="J10" s="26">
        <f>IF(OR(B10="",H10=""),"",B10-IFERROR(INDEX(B$4:B$153,MATCH(1,(D$4:D$153=D10)*(C$4:C$153=H10),0)),B10))</f>
        <v/>
      </c>
      <c r="K10" s="24">
        <f>IF(OR(C10="",E10=""),"",C10+E10)</f>
        <v/>
      </c>
      <c r="L10" s="22" t="n"/>
      <c r="N10" t="inlineStr">
        <is>
          <t>Kit de Embreagem (Disco + Platô + Rolamento)</t>
        </is>
      </c>
      <c r="O10" t="n">
        <v>80000</v>
      </c>
    </row>
    <row r="11" ht="22" customHeight="1">
      <c r="A11" s="27" t="n">
        <v>8</v>
      </c>
      <c r="B11" s="28" t="n"/>
      <c r="C11" s="29" t="n"/>
      <c r="D11" s="27" t="n"/>
      <c r="E11" s="29">
        <f>IF(D11="","",VLOOKUP(D11,$N$1:$O$50,2,FALSE))</f>
        <v/>
      </c>
      <c r="F11" s="27" t="n"/>
      <c r="G11" s="30" t="n"/>
      <c r="H11" s="29" t="n"/>
      <c r="I11" s="29">
        <f>IF(OR(C11="",H11=""),"",C11-H11)</f>
        <v/>
      </c>
      <c r="J11" s="31">
        <f>IF(OR(B11="",H11=""),"",B11-IFERROR(INDEX(B$4:B$153,MATCH(1,(D$4:D$153=D11)*(C$4:C$153=H11),0)),B11))</f>
        <v/>
      </c>
      <c r="K11" s="29">
        <f>IF(OR(C11="",E11=""),"",C11+E11)</f>
        <v/>
      </c>
      <c r="L11" s="27" t="n"/>
      <c r="N11" t="inlineStr">
        <is>
          <t>Fluido de Embreagem</t>
        </is>
      </c>
      <c r="O11" t="n">
        <v>30000</v>
      </c>
    </row>
    <row r="12" ht="22" customHeight="1">
      <c r="A12" s="22" t="n">
        <v>9</v>
      </c>
      <c r="B12" s="23" t="n"/>
      <c r="C12" s="24" t="n"/>
      <c r="D12" s="22" t="n"/>
      <c r="E12" s="24">
        <f>IF(D12="","",VLOOKUP(D12,$N$1:$O$50,2,FALSE))</f>
        <v/>
      </c>
      <c r="F12" s="22" t="n"/>
      <c r="G12" s="25" t="n"/>
      <c r="H12" s="24" t="n"/>
      <c r="I12" s="24">
        <f>IF(OR(C12="",H12=""),"",C12-H12)</f>
        <v/>
      </c>
      <c r="J12" s="26">
        <f>IF(OR(B12="",H12=""),"",B12-IFERROR(INDEX(B$4:B$153,MATCH(1,(D$4:D$153=D12)*(C$4:C$153=H12),0)),B12))</f>
        <v/>
      </c>
      <c r="K12" s="24">
        <f>IF(OR(C12="",E12=""),"",C12+E12)</f>
        <v/>
      </c>
      <c r="L12" s="22" t="n"/>
      <c r="N12" t="inlineStr">
        <is>
          <t>Pastilhas de Freio Dianteiras</t>
        </is>
      </c>
      <c r="O12" t="n">
        <v>30000</v>
      </c>
    </row>
    <row r="13" ht="22" customHeight="1">
      <c r="A13" s="27" t="n">
        <v>10</v>
      </c>
      <c r="B13" s="28" t="n"/>
      <c r="C13" s="29" t="n"/>
      <c r="D13" s="27" t="n"/>
      <c r="E13" s="29">
        <f>IF(D13="","",VLOOKUP(D13,$N$1:$O$50,2,FALSE))</f>
        <v/>
      </c>
      <c r="F13" s="27" t="n"/>
      <c r="G13" s="30" t="n"/>
      <c r="H13" s="29" t="n"/>
      <c r="I13" s="29">
        <f>IF(OR(C13="",H13=""),"",C13-H13)</f>
        <v/>
      </c>
      <c r="J13" s="31">
        <f>IF(OR(B13="",H13=""),"",B13-IFERROR(INDEX(B$4:B$153,MATCH(1,(D$4:D$153=D13)*(C$4:C$153=H13),0)),B13))</f>
        <v/>
      </c>
      <c r="K13" s="29">
        <f>IF(OR(C13="",E13=""),"",C13+E13)</f>
        <v/>
      </c>
      <c r="L13" s="27" t="n"/>
      <c r="N13" t="inlineStr">
        <is>
          <t>Lonas de Freio Traseiras</t>
        </is>
      </c>
      <c r="O13" t="n">
        <v>40000</v>
      </c>
    </row>
    <row r="14" ht="22" customHeight="1">
      <c r="A14" s="22" t="n">
        <v>11</v>
      </c>
      <c r="B14" s="23" t="n"/>
      <c r="C14" s="24" t="n"/>
      <c r="D14" s="22" t="n"/>
      <c r="E14" s="24">
        <f>IF(D14="","",VLOOKUP(D14,$N$1:$O$50,2,FALSE))</f>
        <v/>
      </c>
      <c r="F14" s="22" t="n"/>
      <c r="G14" s="25" t="n"/>
      <c r="H14" s="24" t="n"/>
      <c r="I14" s="24">
        <f>IF(OR(C14="",H14=""),"",C14-H14)</f>
        <v/>
      </c>
      <c r="J14" s="26">
        <f>IF(OR(B14="",H14=""),"",B14-IFERROR(INDEX(B$4:B$153,MATCH(1,(D$4:D$153=D14)*(C$4:C$153=H14),0)),B14))</f>
        <v/>
      </c>
      <c r="K14" s="24">
        <f>IF(OR(C14="",E14=""),"",C14+E14)</f>
        <v/>
      </c>
      <c r="L14" s="22" t="n"/>
      <c r="N14" t="inlineStr">
        <is>
          <t>Disco de Freio Dianteiro</t>
        </is>
      </c>
      <c r="O14" t="n">
        <v>60000</v>
      </c>
    </row>
    <row r="15" ht="22" customHeight="1">
      <c r="A15" s="27" t="n">
        <v>12</v>
      </c>
      <c r="B15" s="28" t="n"/>
      <c r="C15" s="29" t="n"/>
      <c r="D15" s="27" t="n"/>
      <c r="E15" s="29">
        <f>IF(D15="","",VLOOKUP(D15,$N$1:$O$50,2,FALSE))</f>
        <v/>
      </c>
      <c r="F15" s="27" t="n"/>
      <c r="G15" s="30" t="n"/>
      <c r="H15" s="29" t="n"/>
      <c r="I15" s="29">
        <f>IF(OR(C15="",H15=""),"",C15-H15)</f>
        <v/>
      </c>
      <c r="J15" s="31">
        <f>IF(OR(B15="",H15=""),"",B15-IFERROR(INDEX(B$4:B$153,MATCH(1,(D$4:D$153=D15)*(C$4:C$153=H15),0)),B15))</f>
        <v/>
      </c>
      <c r="K15" s="29">
        <f>IF(OR(C15="",E15=""),"",C15+E15)</f>
        <v/>
      </c>
      <c r="L15" s="27" t="n"/>
      <c r="N15" t="inlineStr">
        <is>
          <t>Tambor de Freio Traseiro</t>
        </is>
      </c>
      <c r="O15" t="n">
        <v>80000</v>
      </c>
    </row>
    <row r="16" ht="22" customHeight="1">
      <c r="A16" s="22" t="n">
        <v>13</v>
      </c>
      <c r="B16" s="23" t="n"/>
      <c r="C16" s="24" t="n"/>
      <c r="D16" s="22" t="n"/>
      <c r="E16" s="24">
        <f>IF(D16="","",VLOOKUP(D16,$N$1:$O$50,2,FALSE))</f>
        <v/>
      </c>
      <c r="F16" s="22" t="n"/>
      <c r="G16" s="25" t="n"/>
      <c r="H16" s="24" t="n"/>
      <c r="I16" s="24">
        <f>IF(OR(C16="",H16=""),"",C16-H16)</f>
        <v/>
      </c>
      <c r="J16" s="26">
        <f>IF(OR(B16="",H16=""),"",B16-IFERROR(INDEX(B$4:B$153,MATCH(1,(D$4:D$153=D16)*(C$4:C$153=H16),0)),B16))</f>
        <v/>
      </c>
      <c r="K16" s="24">
        <f>IF(OR(C16="",E16=""),"",C16+E16)</f>
        <v/>
      </c>
      <c r="L16" s="22" t="n"/>
      <c r="N16" t="inlineStr">
        <is>
          <t>Fluido de Freio DOT4</t>
        </is>
      </c>
      <c r="O16" t="n">
        <v>20000</v>
      </c>
    </row>
    <row r="17" ht="22" customHeight="1">
      <c r="A17" s="27" t="n">
        <v>14</v>
      </c>
      <c r="B17" s="28" t="n"/>
      <c r="C17" s="29" t="n"/>
      <c r="D17" s="27" t="n"/>
      <c r="E17" s="29">
        <f>IF(D17="","",VLOOKUP(D17,$N$1:$O$50,2,FALSE))</f>
        <v/>
      </c>
      <c r="F17" s="27" t="n"/>
      <c r="G17" s="30" t="n"/>
      <c r="H17" s="29" t="n"/>
      <c r="I17" s="29">
        <f>IF(OR(C17="",H17=""),"",C17-H17)</f>
        <v/>
      </c>
      <c r="J17" s="31">
        <f>IF(OR(B17="",H17=""),"",B17-IFERROR(INDEX(B$4:B$153,MATCH(1,(D$4:D$153=D17)*(C$4:C$153=H17),0)),B17))</f>
        <v/>
      </c>
      <c r="K17" s="29">
        <f>IF(OR(C17="",E17=""),"",C17+E17)</f>
        <v/>
      </c>
      <c r="L17" s="27" t="n"/>
      <c r="N17" t="inlineStr">
        <is>
          <t>Óleo da Direção Hidráulica</t>
        </is>
      </c>
      <c r="O17" t="n">
        <v>40000</v>
      </c>
    </row>
    <row r="18" ht="22" customHeight="1">
      <c r="A18" s="22" t="n">
        <v>15</v>
      </c>
      <c r="B18" s="23" t="n"/>
      <c r="C18" s="24" t="n"/>
      <c r="D18" s="22" t="n"/>
      <c r="E18" s="24">
        <f>IF(D18="","",VLOOKUP(D18,$N$1:$O$50,2,FALSE))</f>
        <v/>
      </c>
      <c r="F18" s="22" t="n"/>
      <c r="G18" s="25" t="n"/>
      <c r="H18" s="24" t="n"/>
      <c r="I18" s="24">
        <f>IF(OR(C18="",H18=""),"",C18-H18)</f>
        <v/>
      </c>
      <c r="J18" s="26">
        <f>IF(OR(B18="",H18=""),"",B18-IFERROR(INDEX(B$4:B$153,MATCH(1,(D$4:D$153=D18)*(C$4:C$153=H18),0)),B18))</f>
        <v/>
      </c>
      <c r="K18" s="24">
        <f>IF(OR(C18="",E18=""),"",C18+E18)</f>
        <v/>
      </c>
      <c r="L18" s="22" t="n"/>
      <c r="N18" t="inlineStr">
        <is>
          <t>Amortecedores Dianteiros (par)</t>
        </is>
      </c>
      <c r="O18" t="n">
        <v>60000</v>
      </c>
    </row>
    <row r="19" ht="22" customHeight="1">
      <c r="A19" s="27" t="n">
        <v>16</v>
      </c>
      <c r="B19" s="28" t="n"/>
      <c r="C19" s="29" t="n"/>
      <c r="D19" s="27" t="n"/>
      <c r="E19" s="29">
        <f>IF(D19="","",VLOOKUP(D19,$N$1:$O$50,2,FALSE))</f>
        <v/>
      </c>
      <c r="F19" s="27" t="n"/>
      <c r="G19" s="30" t="n"/>
      <c r="H19" s="29" t="n"/>
      <c r="I19" s="29">
        <f>IF(OR(C19="",H19=""),"",C19-H19)</f>
        <v/>
      </c>
      <c r="J19" s="31">
        <f>IF(OR(B19="",H19=""),"",B19-IFERROR(INDEX(B$4:B$153,MATCH(1,(D$4:D$153=D19)*(C$4:C$153=H19),0)),B19))</f>
        <v/>
      </c>
      <c r="K19" s="29">
        <f>IF(OR(C19="",E19=""),"",C19+E19)</f>
        <v/>
      </c>
      <c r="L19" s="27" t="n"/>
      <c r="N19" t="inlineStr">
        <is>
          <t>Amortecedores Traseiros (par)</t>
        </is>
      </c>
      <c r="O19" t="n">
        <v>60000</v>
      </c>
    </row>
    <row r="20" ht="22" customHeight="1">
      <c r="A20" s="22" t="n">
        <v>17</v>
      </c>
      <c r="B20" s="23" t="n"/>
      <c r="C20" s="24" t="n"/>
      <c r="D20" s="22" t="n"/>
      <c r="E20" s="24">
        <f>IF(D20="","",VLOOKUP(D20,$N$1:$O$50,2,FALSE))</f>
        <v/>
      </c>
      <c r="F20" s="22" t="n"/>
      <c r="G20" s="25" t="n"/>
      <c r="H20" s="24" t="n"/>
      <c r="I20" s="24">
        <f>IF(OR(C20="",H20=""),"",C20-H20)</f>
        <v/>
      </c>
      <c r="J20" s="26">
        <f>IF(OR(B20="",H20=""),"",B20-IFERROR(INDEX(B$4:B$153,MATCH(1,(D$4:D$153=D20)*(C$4:C$153=H20),0)),B20))</f>
        <v/>
      </c>
      <c r="K20" s="24">
        <f>IF(OR(C20="",E20=""),"",C20+E20)</f>
        <v/>
      </c>
      <c r="L20" s="22" t="n"/>
      <c r="N20" t="inlineStr">
        <is>
          <t>Molas Dianteiras (par)</t>
        </is>
      </c>
      <c r="O20" t="n">
        <v>100000</v>
      </c>
    </row>
    <row r="21" ht="22" customHeight="1">
      <c r="A21" s="27" t="n">
        <v>18</v>
      </c>
      <c r="B21" s="28" t="n"/>
      <c r="C21" s="29" t="n"/>
      <c r="D21" s="27" t="n"/>
      <c r="E21" s="29">
        <f>IF(D21="","",VLOOKUP(D21,$N$1:$O$50,2,FALSE))</f>
        <v/>
      </c>
      <c r="F21" s="27" t="n"/>
      <c r="G21" s="30" t="n"/>
      <c r="H21" s="29" t="n"/>
      <c r="I21" s="29">
        <f>IF(OR(C21="",H21=""),"",C21-H21)</f>
        <v/>
      </c>
      <c r="J21" s="31">
        <f>IF(OR(B21="",H21=""),"",B21-IFERROR(INDEX(B$4:B$153,MATCH(1,(D$4:D$153=D21)*(C$4:C$153=H21),0)),B21))</f>
        <v/>
      </c>
      <c r="K21" s="29">
        <f>IF(OR(C21="",E21=""),"",C21+E21)</f>
        <v/>
      </c>
      <c r="L21" s="27" t="n"/>
      <c r="N21" t="inlineStr">
        <is>
          <t>Molas Traseiras / Feixe de Molas</t>
        </is>
      </c>
      <c r="O21" t="n">
        <v>120000</v>
      </c>
    </row>
    <row r="22" ht="22" customHeight="1">
      <c r="A22" s="22" t="n">
        <v>19</v>
      </c>
      <c r="B22" s="23" t="n"/>
      <c r="C22" s="24" t="n"/>
      <c r="D22" s="22" t="n"/>
      <c r="E22" s="24">
        <f>IF(D22="","",VLOOKUP(D22,$N$1:$O$50,2,FALSE))</f>
        <v/>
      </c>
      <c r="F22" s="22" t="n"/>
      <c r="G22" s="25" t="n"/>
      <c r="H22" s="24" t="n"/>
      <c r="I22" s="24">
        <f>IF(OR(C22="",H22=""),"",C22-H22)</f>
        <v/>
      </c>
      <c r="J22" s="26">
        <f>IF(OR(B22="",H22=""),"",B22-IFERROR(INDEX(B$4:B$153,MATCH(1,(D$4:D$153=D22)*(C$4:C$153=H22),0)),B22))</f>
        <v/>
      </c>
      <c r="K22" s="24">
        <f>IF(OR(C22="",E22=""),"",C22+E22)</f>
        <v/>
      </c>
      <c r="L22" s="22" t="n"/>
      <c r="N22" t="inlineStr">
        <is>
          <t>Buchas da Suspensão (jogo)</t>
        </is>
      </c>
      <c r="O22" t="n">
        <v>80000</v>
      </c>
    </row>
    <row r="23" ht="22" customHeight="1">
      <c r="A23" s="27" t="n">
        <v>20</v>
      </c>
      <c r="B23" s="28" t="n"/>
      <c r="C23" s="29" t="n"/>
      <c r="D23" s="27" t="n"/>
      <c r="E23" s="29">
        <f>IF(D23="","",VLOOKUP(D23,$N$1:$O$50,2,FALSE))</f>
        <v/>
      </c>
      <c r="F23" s="27" t="n"/>
      <c r="G23" s="30" t="n"/>
      <c r="H23" s="29" t="n"/>
      <c r="I23" s="29">
        <f>IF(OR(C23="",H23=""),"",C23-H23)</f>
        <v/>
      </c>
      <c r="J23" s="31">
        <f>IF(OR(B23="",H23=""),"",B23-IFERROR(INDEX(B$4:B$153,MATCH(1,(D$4:D$153=D23)*(C$4:C$153=H23),0)),B23))</f>
        <v/>
      </c>
      <c r="K23" s="29">
        <f>IF(OR(C23="",E23=""),"",C23+E23)</f>
        <v/>
      </c>
      <c r="L23" s="27" t="n"/>
      <c r="N23" t="inlineStr">
        <is>
          <t>Pivô de Direção</t>
        </is>
      </c>
      <c r="O23" t="n">
        <v>60000</v>
      </c>
    </row>
    <row r="24" ht="22" customHeight="1">
      <c r="A24" s="22" t="n">
        <v>21</v>
      </c>
      <c r="B24" s="23" t="n"/>
      <c r="C24" s="24" t="n"/>
      <c r="D24" s="22" t="n"/>
      <c r="E24" s="24">
        <f>IF(D24="","",VLOOKUP(D24,$N$1:$O$50,2,FALSE))</f>
        <v/>
      </c>
      <c r="F24" s="22" t="n"/>
      <c r="G24" s="25" t="n"/>
      <c r="H24" s="24" t="n"/>
      <c r="I24" s="24">
        <f>IF(OR(C24="",H24=""),"",C24-H24)</f>
        <v/>
      </c>
      <c r="J24" s="26">
        <f>IF(OR(B24="",H24=""),"",B24-IFERROR(INDEX(B$4:B$153,MATCH(1,(D$4:D$153=D24)*(C$4:C$153=H24),0)),B24))</f>
        <v/>
      </c>
      <c r="K24" s="24">
        <f>IF(OR(C24="",E24=""),"",C24+E24)</f>
        <v/>
      </c>
      <c r="L24" s="22" t="n"/>
      <c r="N24" t="inlineStr">
        <is>
          <t>Terminais de Direção (par)</t>
        </is>
      </c>
      <c r="O24" t="n">
        <v>50000</v>
      </c>
    </row>
    <row r="25" ht="22" customHeight="1">
      <c r="A25" s="27" t="n">
        <v>22</v>
      </c>
      <c r="B25" s="28" t="n"/>
      <c r="C25" s="29" t="n"/>
      <c r="D25" s="27" t="n"/>
      <c r="E25" s="29">
        <f>IF(D25="","",VLOOKUP(D25,$N$1:$O$50,2,FALSE))</f>
        <v/>
      </c>
      <c r="F25" s="27" t="n"/>
      <c r="G25" s="30" t="n"/>
      <c r="H25" s="29" t="n"/>
      <c r="I25" s="29">
        <f>IF(OR(C25="",H25=""),"",C25-H25)</f>
        <v/>
      </c>
      <c r="J25" s="31">
        <f>IF(OR(B25="",H25=""),"",B25-IFERROR(INDEX(B$4:B$153,MATCH(1,(D$4:D$153=D25)*(C$4:C$153=H25),0)),B25))</f>
        <v/>
      </c>
      <c r="K25" s="29">
        <f>IF(OR(C25="",E25=""),"",C25+E25)</f>
        <v/>
      </c>
      <c r="L25" s="27" t="n"/>
      <c r="N25" t="inlineStr">
        <is>
          <t>Barra de Direção</t>
        </is>
      </c>
      <c r="O25" t="n">
        <v>80000</v>
      </c>
    </row>
    <row r="26" ht="22" customHeight="1">
      <c r="A26" s="22" t="n">
        <v>23</v>
      </c>
      <c r="B26" s="23" t="n"/>
      <c r="C26" s="24" t="n"/>
      <c r="D26" s="22" t="n"/>
      <c r="E26" s="24">
        <f>IF(D26="","",VLOOKUP(D26,$N$1:$O$50,2,FALSE))</f>
        <v/>
      </c>
      <c r="F26" s="22" t="n"/>
      <c r="G26" s="25" t="n"/>
      <c r="H26" s="24" t="n"/>
      <c r="I26" s="24">
        <f>IF(OR(C26="",H26=""),"",C26-H26)</f>
        <v/>
      </c>
      <c r="J26" s="26">
        <f>IF(OR(B26="",H26=""),"",B26-IFERROR(INDEX(B$4:B$153,MATCH(1,(D$4:D$153=D26)*(C$4:C$153=H26),0)),B26))</f>
        <v/>
      </c>
      <c r="K26" s="24">
        <f>IF(OR(C26="",E26=""),"",C26+E26)</f>
        <v/>
      </c>
      <c r="L26" s="22" t="n"/>
      <c r="N26" t="inlineStr">
        <is>
          <t>Bateria 60Ah</t>
        </is>
      </c>
      <c r="O26" t="n">
        <v>50000</v>
      </c>
    </row>
    <row r="27" ht="22" customHeight="1">
      <c r="A27" s="27" t="n">
        <v>24</v>
      </c>
      <c r="B27" s="28" t="n"/>
      <c r="C27" s="29" t="n"/>
      <c r="D27" s="27" t="n"/>
      <c r="E27" s="29">
        <f>IF(D27="","",VLOOKUP(D27,$N$1:$O$50,2,FALSE))</f>
        <v/>
      </c>
      <c r="F27" s="27" t="n"/>
      <c r="G27" s="30" t="n"/>
      <c r="H27" s="29" t="n"/>
      <c r="I27" s="29">
        <f>IF(OR(C27="",H27=""),"",C27-H27)</f>
        <v/>
      </c>
      <c r="J27" s="31">
        <f>IF(OR(B27="",H27=""),"",B27-IFERROR(INDEX(B$4:B$153,MATCH(1,(D$4:D$153=D27)*(C$4:C$153=H27),0)),B27))</f>
        <v/>
      </c>
      <c r="K27" s="29">
        <f>IF(OR(C27="",E27=""),"",C27+E27)</f>
        <v/>
      </c>
      <c r="L27" s="27" t="n"/>
      <c r="N27" t="inlineStr">
        <is>
          <t>Alternador</t>
        </is>
      </c>
      <c r="O27" t="n">
        <v>150000</v>
      </c>
    </row>
    <row r="28" ht="22" customHeight="1">
      <c r="A28" s="22" t="n">
        <v>25</v>
      </c>
      <c r="B28" s="23" t="n"/>
      <c r="C28" s="24" t="n"/>
      <c r="D28" s="22" t="n"/>
      <c r="E28" s="24">
        <f>IF(D28="","",VLOOKUP(D28,$N$1:$O$50,2,FALSE))</f>
        <v/>
      </c>
      <c r="F28" s="22" t="n"/>
      <c r="G28" s="25" t="n"/>
      <c r="H28" s="24" t="n"/>
      <c r="I28" s="24">
        <f>IF(OR(C28="",H28=""),"",C28-H28)</f>
        <v/>
      </c>
      <c r="J28" s="26">
        <f>IF(OR(B28="",H28=""),"",B28-IFERROR(INDEX(B$4:B$153,MATCH(1,(D$4:D$153=D28)*(C$4:C$153=H28),0)),B28))</f>
        <v/>
      </c>
      <c r="K28" s="24">
        <f>IF(OR(C28="",E28=""),"",C28+E28)</f>
        <v/>
      </c>
      <c r="L28" s="22" t="n"/>
      <c r="N28" t="inlineStr">
        <is>
          <t>Motor de Arranque</t>
        </is>
      </c>
      <c r="O28" t="n">
        <v>150000</v>
      </c>
    </row>
    <row r="29" ht="22" customHeight="1">
      <c r="A29" s="27" t="n">
        <v>26</v>
      </c>
      <c r="B29" s="28" t="n"/>
      <c r="C29" s="29" t="n"/>
      <c r="D29" s="27" t="n"/>
      <c r="E29" s="29">
        <f>IF(D29="","",VLOOKUP(D29,$N$1:$O$50,2,FALSE))</f>
        <v/>
      </c>
      <c r="F29" s="27" t="n"/>
      <c r="G29" s="30" t="n"/>
      <c r="H29" s="29" t="n"/>
      <c r="I29" s="29">
        <f>IF(OR(C29="",H29=""),"",C29-H29)</f>
        <v/>
      </c>
      <c r="J29" s="31">
        <f>IF(OR(B29="",H29=""),"",B29-IFERROR(INDEX(B$4:B$153,MATCH(1,(D$4:D$153=D29)*(C$4:C$153=H29),0)),B29))</f>
        <v/>
      </c>
      <c r="K29" s="29">
        <f>IF(OR(C29="",E29=""),"",C29+E29)</f>
        <v/>
      </c>
      <c r="L29" s="27" t="n"/>
      <c r="N29" t="inlineStr">
        <is>
          <t>Velas de Aquecimento (jogo 4)</t>
        </is>
      </c>
      <c r="O29" t="n">
        <v>60000</v>
      </c>
    </row>
    <row r="30" ht="22" customHeight="1">
      <c r="A30" s="22" t="n">
        <v>27</v>
      </c>
      <c r="B30" s="23" t="n"/>
      <c r="C30" s="24" t="n"/>
      <c r="D30" s="22" t="n"/>
      <c r="E30" s="24">
        <f>IF(D30="","",VLOOKUP(D30,$N$1:$O$50,2,FALSE))</f>
        <v/>
      </c>
      <c r="F30" s="22" t="n"/>
      <c r="G30" s="25" t="n"/>
      <c r="H30" s="24" t="n"/>
      <c r="I30" s="24">
        <f>IF(OR(C30="",H30=""),"",C30-H30)</f>
        <v/>
      </c>
      <c r="J30" s="26">
        <f>IF(OR(B30="",H30=""),"",B30-IFERROR(INDEX(B$4:B$153,MATCH(1,(D$4:D$153=D30)*(C$4:C$153=H30),0)),B30))</f>
        <v/>
      </c>
      <c r="K30" s="24">
        <f>IF(OR(C30="",E30=""),"",C30+E30)</f>
        <v/>
      </c>
      <c r="L30" s="22" t="n"/>
      <c r="N30" t="inlineStr">
        <is>
          <t>Bomba Injetora</t>
        </is>
      </c>
      <c r="O30" t="n">
        <v>200000</v>
      </c>
    </row>
    <row r="31" ht="22" customHeight="1">
      <c r="A31" s="27" t="n">
        <v>28</v>
      </c>
      <c r="B31" s="28" t="n"/>
      <c r="C31" s="29" t="n"/>
      <c r="D31" s="27" t="n"/>
      <c r="E31" s="29">
        <f>IF(D31="","",VLOOKUP(D31,$N$1:$O$50,2,FALSE))</f>
        <v/>
      </c>
      <c r="F31" s="27" t="n"/>
      <c r="G31" s="30" t="n"/>
      <c r="H31" s="29" t="n"/>
      <c r="I31" s="29">
        <f>IF(OR(C31="",H31=""),"",C31-H31)</f>
        <v/>
      </c>
      <c r="J31" s="31">
        <f>IF(OR(B31="",H31=""),"",B31-IFERROR(INDEX(B$4:B$153,MATCH(1,(D$4:D$153=D31)*(C$4:C$153=H31),0)),B31))</f>
        <v/>
      </c>
      <c r="K31" s="29">
        <f>IF(OR(C31="",E31=""),"",C31+E31)</f>
        <v/>
      </c>
      <c r="L31" s="27" t="n"/>
      <c r="N31" t="inlineStr">
        <is>
          <t>Bicos Injetores (jogo 4)</t>
        </is>
      </c>
      <c r="O31" t="n">
        <v>150000</v>
      </c>
    </row>
    <row r="32" ht="22" customHeight="1">
      <c r="A32" s="22" t="n">
        <v>29</v>
      </c>
      <c r="B32" s="23" t="n"/>
      <c r="C32" s="24" t="n"/>
      <c r="D32" s="22" t="n"/>
      <c r="E32" s="24">
        <f>IF(D32="","",VLOOKUP(D32,$N$1:$O$50,2,FALSE))</f>
        <v/>
      </c>
      <c r="F32" s="22" t="n"/>
      <c r="G32" s="25" t="n"/>
      <c r="H32" s="24" t="n"/>
      <c r="I32" s="24">
        <f>IF(OR(C32="",H32=""),"",C32-H32)</f>
        <v/>
      </c>
      <c r="J32" s="26">
        <f>IF(OR(B32="",H32=""),"",B32-IFERROR(INDEX(B$4:B$153,MATCH(1,(D$4:D$153=D32)*(C$4:C$153=H32),0)),B32))</f>
        <v/>
      </c>
      <c r="K32" s="24">
        <f>IF(OR(C32="",E32=""),"",C32+E32)</f>
        <v/>
      </c>
      <c r="L32" s="22" t="n"/>
      <c r="N32" t="inlineStr">
        <is>
          <t>Turbina / Turbocompressor</t>
        </is>
      </c>
      <c r="O32" t="n">
        <v>200000</v>
      </c>
    </row>
    <row r="33" ht="22" customHeight="1">
      <c r="A33" s="27" t="n">
        <v>30</v>
      </c>
      <c r="B33" s="28" t="n"/>
      <c r="C33" s="29" t="n"/>
      <c r="D33" s="27" t="n"/>
      <c r="E33" s="29">
        <f>IF(D33="","",VLOOKUP(D33,$N$1:$O$50,2,FALSE))</f>
        <v/>
      </c>
      <c r="F33" s="27" t="n"/>
      <c r="G33" s="30" t="n"/>
      <c r="H33" s="29" t="n"/>
      <c r="I33" s="29">
        <f>IF(OR(C33="",H33=""),"",C33-H33)</f>
        <v/>
      </c>
      <c r="J33" s="31">
        <f>IF(OR(B33="",H33=""),"",B33-IFERROR(INDEX(B$4:B$153,MATCH(1,(D$4:D$153=D33)*(C$4:C$153=H33),0)),B33))</f>
        <v/>
      </c>
      <c r="K33" s="29">
        <f>IF(OR(C33="",E33=""),"",C33+E33)</f>
        <v/>
      </c>
      <c r="L33" s="27" t="n"/>
      <c r="N33" t="inlineStr">
        <is>
          <t>Intercooler</t>
        </is>
      </c>
      <c r="O33" t="n">
        <v>200000</v>
      </c>
    </row>
    <row r="34" ht="22" customHeight="1">
      <c r="A34" s="22" t="n">
        <v>31</v>
      </c>
      <c r="B34" s="23" t="n"/>
      <c r="C34" s="24" t="n"/>
      <c r="D34" s="22" t="n"/>
      <c r="E34" s="24">
        <f>IF(D34="","",VLOOKUP(D34,$N$1:$O$50,2,FALSE))</f>
        <v/>
      </c>
      <c r="F34" s="22" t="n"/>
      <c r="G34" s="25" t="n"/>
      <c r="H34" s="24" t="n"/>
      <c r="I34" s="24">
        <f>IF(OR(C34="",H34=""),"",C34-H34)</f>
        <v/>
      </c>
      <c r="J34" s="26">
        <f>IF(OR(B34="",H34=""),"",B34-IFERROR(INDEX(B$4:B$153,MATCH(1,(D$4:D$153=D34)*(C$4:C$153=H34),0)),B34))</f>
        <v/>
      </c>
      <c r="K34" s="24">
        <f>IF(OR(C34="",E34=""),"",C34+E34)</f>
        <v/>
      </c>
      <c r="L34" s="22" t="n"/>
      <c r="N34" t="inlineStr">
        <is>
          <t>Radiador</t>
        </is>
      </c>
      <c r="O34" t="n">
        <v>150000</v>
      </c>
    </row>
    <row r="35" ht="22" customHeight="1">
      <c r="A35" s="27" t="n">
        <v>32</v>
      </c>
      <c r="B35" s="28" t="n"/>
      <c r="C35" s="29" t="n"/>
      <c r="D35" s="27" t="n"/>
      <c r="E35" s="29">
        <f>IF(D35="","",VLOOKUP(D35,$N$1:$O$50,2,FALSE))</f>
        <v/>
      </c>
      <c r="F35" s="27" t="n"/>
      <c r="G35" s="30" t="n"/>
      <c r="H35" s="29" t="n"/>
      <c r="I35" s="29">
        <f>IF(OR(C35="",H35=""),"",C35-H35)</f>
        <v/>
      </c>
      <c r="J35" s="31">
        <f>IF(OR(B35="",H35=""),"",B35-IFERROR(INDEX(B$4:B$153,MATCH(1,(D$4:D$153=D35)*(C$4:C$153=H35),0)),B35))</f>
        <v/>
      </c>
      <c r="K35" s="29">
        <f>IF(OR(C35="",E35=""),"",C35+E35)</f>
        <v/>
      </c>
      <c r="L35" s="27" t="n"/>
      <c r="N35" t="inlineStr">
        <is>
          <t>Líquido de Arrefecimento</t>
        </is>
      </c>
      <c r="O35" t="n">
        <v>30000</v>
      </c>
    </row>
    <row r="36" ht="22" customHeight="1">
      <c r="A36" s="22" t="n">
        <v>33</v>
      </c>
      <c r="B36" s="23" t="n"/>
      <c r="C36" s="24" t="n"/>
      <c r="D36" s="22" t="n"/>
      <c r="E36" s="24">
        <f>IF(D36="","",VLOOKUP(D36,$N$1:$O$50,2,FALSE))</f>
        <v/>
      </c>
      <c r="F36" s="22" t="n"/>
      <c r="G36" s="25" t="n"/>
      <c r="H36" s="24" t="n"/>
      <c r="I36" s="24">
        <f>IF(OR(C36="",H36=""),"",C36-H36)</f>
        <v/>
      </c>
      <c r="J36" s="26">
        <f>IF(OR(B36="",H36=""),"",B36-IFERROR(INDEX(B$4:B$153,MATCH(1,(D$4:D$153=D36)*(C$4:C$153=H36),0)),B36))</f>
        <v/>
      </c>
      <c r="K36" s="24">
        <f>IF(OR(C36="",E36=""),"",C36+E36)</f>
        <v/>
      </c>
      <c r="L36" s="22" t="n"/>
      <c r="N36" t="inlineStr">
        <is>
          <t>Válvula Termostática</t>
        </is>
      </c>
      <c r="O36" t="n">
        <v>80000</v>
      </c>
    </row>
    <row r="37" ht="22" customHeight="1">
      <c r="A37" s="27" t="n">
        <v>34</v>
      </c>
      <c r="B37" s="28" t="n"/>
      <c r="C37" s="29" t="n"/>
      <c r="D37" s="27" t="n"/>
      <c r="E37" s="29">
        <f>IF(D37="","",VLOOKUP(D37,$N$1:$O$50,2,FALSE))</f>
        <v/>
      </c>
      <c r="F37" s="27" t="n"/>
      <c r="G37" s="30" t="n"/>
      <c r="H37" s="29" t="n"/>
      <c r="I37" s="29">
        <f>IF(OR(C37="",H37=""),"",C37-H37)</f>
        <v/>
      </c>
      <c r="J37" s="31">
        <f>IF(OR(B37="",H37=""),"",B37-IFERROR(INDEX(B$4:B$153,MATCH(1,(D$4:D$153=D37)*(C$4:C$153=H37),0)),B37))</f>
        <v/>
      </c>
      <c r="K37" s="29">
        <f>IF(OR(C37="",E37=""),"",C37+E37)</f>
        <v/>
      </c>
      <c r="L37" s="27" t="n"/>
      <c r="N37" t="inlineStr">
        <is>
          <t>Mangueiras do Radiador (superior/inferior)</t>
        </is>
      </c>
      <c r="O37" t="n">
        <v>60000</v>
      </c>
    </row>
    <row r="38" ht="22" customHeight="1">
      <c r="A38" s="22" t="n">
        <v>35</v>
      </c>
      <c r="B38" s="23" t="n"/>
      <c r="C38" s="24" t="n"/>
      <c r="D38" s="22" t="n"/>
      <c r="E38" s="24">
        <f>IF(D38="","",VLOOKUP(D38,$N$1:$O$50,2,FALSE))</f>
        <v/>
      </c>
      <c r="F38" s="22" t="n"/>
      <c r="G38" s="25" t="n"/>
      <c r="H38" s="24" t="n"/>
      <c r="I38" s="24">
        <f>IF(OR(C38="",H38=""),"",C38-H38)</f>
        <v/>
      </c>
      <c r="J38" s="26">
        <f>IF(OR(B38="",H38=""),"",B38-IFERROR(INDEX(B$4:B$153,MATCH(1,(D$4:D$153=D38)*(C$4:C$153=H38),0)),B38))</f>
        <v/>
      </c>
      <c r="K38" s="24">
        <f>IF(OR(C38="",E38=""),"",C38+E38)</f>
        <v/>
      </c>
      <c r="L38" s="22" t="n"/>
      <c r="N38" t="inlineStr">
        <is>
          <t>Óleo do Câmbio (Manual)</t>
        </is>
      </c>
      <c r="O38" t="n">
        <v>40000</v>
      </c>
    </row>
    <row r="39" ht="22" customHeight="1">
      <c r="A39" s="27" t="n">
        <v>36</v>
      </c>
      <c r="B39" s="28" t="n"/>
      <c r="C39" s="29" t="n"/>
      <c r="D39" s="27" t="n"/>
      <c r="E39" s="29">
        <f>IF(D39="","",VLOOKUP(D39,$N$1:$O$50,2,FALSE))</f>
        <v/>
      </c>
      <c r="F39" s="27" t="n"/>
      <c r="G39" s="30" t="n"/>
      <c r="H39" s="29" t="n"/>
      <c r="I39" s="29">
        <f>IF(OR(C39="",H39=""),"",C39-H39)</f>
        <v/>
      </c>
      <c r="J39" s="31">
        <f>IF(OR(B39="",H39=""),"",B39-IFERROR(INDEX(B$4:B$153,MATCH(1,(D$4:D$153=D39)*(C$4:C$153=H39),0)),B39))</f>
        <v/>
      </c>
      <c r="K39" s="29">
        <f>IF(OR(C39="",E39=""),"",C39+E39)</f>
        <v/>
      </c>
      <c r="L39" s="27" t="n"/>
      <c r="N39" t="inlineStr">
        <is>
          <t>Óleo do Diferencial</t>
        </is>
      </c>
      <c r="O39" t="n">
        <v>40000</v>
      </c>
    </row>
    <row r="40" ht="22" customHeight="1">
      <c r="A40" s="22" t="n">
        <v>37</v>
      </c>
      <c r="B40" s="23" t="n"/>
      <c r="C40" s="24" t="n"/>
      <c r="D40" s="22" t="n"/>
      <c r="E40" s="24">
        <f>IF(D40="","",VLOOKUP(D40,$N$1:$O$50,2,FALSE))</f>
        <v/>
      </c>
      <c r="F40" s="22" t="n"/>
      <c r="G40" s="25" t="n"/>
      <c r="H40" s="24" t="n"/>
      <c r="I40" s="24">
        <f>IF(OR(C40="",H40=""),"",C40-H40)</f>
        <v/>
      </c>
      <c r="J40" s="26">
        <f>IF(OR(B40="",H40=""),"",B40-IFERROR(INDEX(B$4:B$153,MATCH(1,(D$4:D$153=D40)*(C$4:C$153=H40),0)),B40))</f>
        <v/>
      </c>
      <c r="K40" s="24">
        <f>IF(OR(C40="",E40=""),"",C40+E40)</f>
        <v/>
      </c>
      <c r="L40" s="22" t="n"/>
      <c r="N40" t="inlineStr">
        <is>
          <t>Cruzetas do Cardan (jogo)</t>
        </is>
      </c>
      <c r="O40" t="n">
        <v>60000</v>
      </c>
    </row>
    <row r="41" ht="22" customHeight="1">
      <c r="A41" s="27" t="n">
        <v>38</v>
      </c>
      <c r="B41" s="28" t="n"/>
      <c r="C41" s="29" t="n"/>
      <c r="D41" s="27" t="n"/>
      <c r="E41" s="29">
        <f>IF(D41="","",VLOOKUP(D41,$N$1:$O$50,2,FALSE))</f>
        <v/>
      </c>
      <c r="F41" s="27" t="n"/>
      <c r="G41" s="30" t="n"/>
      <c r="H41" s="29" t="n"/>
      <c r="I41" s="29">
        <f>IF(OR(C41="",H41=""),"",C41-H41)</f>
        <v/>
      </c>
      <c r="J41" s="31">
        <f>IF(OR(B41="",H41=""),"",B41-IFERROR(INDEX(B$4:B$153,MATCH(1,(D$4:D$153=D41)*(C$4:C$153=H41),0)),B41))</f>
        <v/>
      </c>
      <c r="K41" s="29">
        <f>IF(OR(C41="",E41=""),"",C41+E41)</f>
        <v/>
      </c>
      <c r="L41" s="27" t="n"/>
      <c r="N41" t="inlineStr">
        <is>
          <t>Rolamento da Roda Dianteira (par)</t>
        </is>
      </c>
      <c r="O41" t="n">
        <v>80000</v>
      </c>
    </row>
    <row r="42" ht="22" customHeight="1">
      <c r="A42" s="22" t="n">
        <v>39</v>
      </c>
      <c r="B42" s="23" t="n"/>
      <c r="C42" s="24" t="n"/>
      <c r="D42" s="22" t="n"/>
      <c r="E42" s="24">
        <f>IF(D42="","",VLOOKUP(D42,$N$1:$O$50,2,FALSE))</f>
        <v/>
      </c>
      <c r="F42" s="22" t="n"/>
      <c r="G42" s="25" t="n"/>
      <c r="H42" s="24" t="n"/>
      <c r="I42" s="24">
        <f>IF(OR(C42="",H42=""),"",C42-H42)</f>
        <v/>
      </c>
      <c r="J42" s="26">
        <f>IF(OR(B42="",H42=""),"",B42-IFERROR(INDEX(B$4:B$153,MATCH(1,(D$4:D$153=D42)*(C$4:C$153=H42),0)),B42))</f>
        <v/>
      </c>
      <c r="K42" s="24">
        <f>IF(OR(C42="",E42=""),"",C42+E42)</f>
        <v/>
      </c>
      <c r="L42" s="22" t="n"/>
      <c r="N42" t="inlineStr">
        <is>
          <t>Rolamento da Roda Traseira (par)</t>
        </is>
      </c>
      <c r="O42" t="n">
        <v>100000</v>
      </c>
    </row>
    <row r="43" ht="22" customHeight="1">
      <c r="A43" s="27" t="n">
        <v>40</v>
      </c>
      <c r="B43" s="28" t="n"/>
      <c r="C43" s="29" t="n"/>
      <c r="D43" s="27" t="n"/>
      <c r="E43" s="29">
        <f>IF(D43="","",VLOOKUP(D43,$N$1:$O$50,2,FALSE))</f>
        <v/>
      </c>
      <c r="F43" s="27" t="n"/>
      <c r="G43" s="30" t="n"/>
      <c r="H43" s="29" t="n"/>
      <c r="I43" s="29">
        <f>IF(OR(C43="",H43=""),"",C43-H43)</f>
        <v/>
      </c>
      <c r="J43" s="31">
        <f>IF(OR(B43="",H43=""),"",B43-IFERROR(INDEX(B$4:B$153,MATCH(1,(D$4:D$153=D43)*(C$4:C$153=H43),0)),B43))</f>
        <v/>
      </c>
      <c r="K43" s="29">
        <f>IF(OR(C43="",E43=""),"",C43+E43)</f>
        <v/>
      </c>
      <c r="L43" s="27" t="n"/>
      <c r="N43" t="inlineStr">
        <is>
          <t>Pneu Dianteiro (par)</t>
        </is>
      </c>
      <c r="O43" t="n">
        <v>50000</v>
      </c>
    </row>
    <row r="44" ht="22" customHeight="1">
      <c r="A44" s="22" t="n">
        <v>41</v>
      </c>
      <c r="B44" s="23" t="n"/>
      <c r="C44" s="24" t="n"/>
      <c r="D44" s="22" t="n"/>
      <c r="E44" s="24">
        <f>IF(D44="","",VLOOKUP(D44,$N$1:$O$50,2,FALSE))</f>
        <v/>
      </c>
      <c r="F44" s="22" t="n"/>
      <c r="G44" s="25" t="n"/>
      <c r="H44" s="24" t="n"/>
      <c r="I44" s="24">
        <f>IF(OR(C44="",H44=""),"",C44-H44)</f>
        <v/>
      </c>
      <c r="J44" s="26">
        <f>IF(OR(B44="",H44=""),"",B44-IFERROR(INDEX(B$4:B$153,MATCH(1,(D$4:D$153=D44)*(C$4:C$153=H44),0)),B44))</f>
        <v/>
      </c>
      <c r="K44" s="24">
        <f>IF(OR(C44="",E44=""),"",C44+E44)</f>
        <v/>
      </c>
      <c r="L44" s="22" t="n"/>
      <c r="N44" t="inlineStr">
        <is>
          <t>Pneu Traseiro (par)</t>
        </is>
      </c>
      <c r="O44" t="n">
        <v>40000</v>
      </c>
    </row>
    <row r="45" ht="22" customHeight="1">
      <c r="A45" s="27" t="n">
        <v>42</v>
      </c>
      <c r="B45" s="28" t="n"/>
      <c r="C45" s="29" t="n"/>
      <c r="D45" s="27" t="n"/>
      <c r="E45" s="29">
        <f>IF(D45="","",VLOOKUP(D45,$N$1:$O$50,2,FALSE))</f>
        <v/>
      </c>
      <c r="F45" s="27" t="n"/>
      <c r="G45" s="30" t="n"/>
      <c r="H45" s="29" t="n"/>
      <c r="I45" s="29">
        <f>IF(OR(C45="",H45=""),"",C45-H45)</f>
        <v/>
      </c>
      <c r="J45" s="31">
        <f>IF(OR(B45="",H45=""),"",B45-IFERROR(INDEX(B$4:B$153,MATCH(1,(D$4:D$153=D45)*(C$4:C$153=H45),0)),B45))</f>
        <v/>
      </c>
      <c r="K45" s="29">
        <f>IF(OR(C45="",E45=""),"",C45+E45)</f>
        <v/>
      </c>
      <c r="L45" s="27" t="n"/>
      <c r="N45" t="inlineStr">
        <is>
          <t>Alinhamento e Balanceamento</t>
        </is>
      </c>
      <c r="O45" t="n">
        <v>10000</v>
      </c>
    </row>
    <row r="46" ht="22" customHeight="1">
      <c r="A46" s="22" t="n">
        <v>43</v>
      </c>
      <c r="B46" s="23" t="n"/>
      <c r="C46" s="24" t="n"/>
      <c r="D46" s="22" t="n"/>
      <c r="E46" s="24">
        <f>IF(D46="","",VLOOKUP(D46,$N$1:$O$50,2,FALSE))</f>
        <v/>
      </c>
      <c r="F46" s="22" t="n"/>
      <c r="G46" s="25" t="n"/>
      <c r="H46" s="24" t="n"/>
      <c r="I46" s="24">
        <f>IF(OR(C46="",H46=""),"",C46-H46)</f>
        <v/>
      </c>
      <c r="J46" s="26">
        <f>IF(OR(B46="",H46=""),"",B46-IFERROR(INDEX(B$4:B$153,MATCH(1,(D$4:D$153=D46)*(C$4:C$153=H46),0)),B46))</f>
        <v/>
      </c>
      <c r="K46" s="24">
        <f>IF(OR(C46="",E46=""),"",C46+E46)</f>
        <v/>
      </c>
      <c r="L46" s="22" t="n"/>
      <c r="N46" t="inlineStr">
        <is>
          <t>Escapamento Completo</t>
        </is>
      </c>
      <c r="O46" t="n">
        <v>100000</v>
      </c>
    </row>
    <row r="47" ht="22" customHeight="1">
      <c r="A47" s="27" t="n">
        <v>44</v>
      </c>
      <c r="B47" s="28" t="n"/>
      <c r="C47" s="29" t="n"/>
      <c r="D47" s="27" t="n"/>
      <c r="E47" s="29">
        <f>IF(D47="","",VLOOKUP(D47,$N$1:$O$50,2,FALSE))</f>
        <v/>
      </c>
      <c r="F47" s="27" t="n"/>
      <c r="G47" s="30" t="n"/>
      <c r="H47" s="29" t="n"/>
      <c r="I47" s="29">
        <f>IF(OR(C47="",H47=""),"",C47-H47)</f>
        <v/>
      </c>
      <c r="J47" s="31">
        <f>IF(OR(B47="",H47=""),"",B47-IFERROR(INDEX(B$4:B$153,MATCH(1,(D$4:D$153=D47)*(C$4:C$153=H47),0)),B47))</f>
        <v/>
      </c>
      <c r="K47" s="29">
        <f>IF(OR(C47="",E47=""),"",C47+E47)</f>
        <v/>
      </c>
      <c r="L47" s="27" t="n"/>
      <c r="N47" t="inlineStr">
        <is>
          <t>Catalisador</t>
        </is>
      </c>
      <c r="O47" t="n">
        <v>150000</v>
      </c>
    </row>
    <row r="48" ht="22" customHeight="1">
      <c r="A48" s="22" t="n">
        <v>45</v>
      </c>
      <c r="B48" s="23" t="n"/>
      <c r="C48" s="24" t="n"/>
      <c r="D48" s="22" t="n"/>
      <c r="E48" s="24">
        <f>IF(D48="","",VLOOKUP(D48,$N$1:$O$50,2,FALSE))</f>
        <v/>
      </c>
      <c r="F48" s="22" t="n"/>
      <c r="G48" s="25" t="n"/>
      <c r="H48" s="24" t="n"/>
      <c r="I48" s="24">
        <f>IF(OR(C48="",H48=""),"",C48-H48)</f>
        <v/>
      </c>
      <c r="J48" s="26">
        <f>IF(OR(B48="",H48=""),"",B48-IFERROR(INDEX(B$4:B$153,MATCH(1,(D$4:D$153=D48)*(C$4:C$153=H48),0)),B48))</f>
        <v/>
      </c>
      <c r="K48" s="24">
        <f>IF(OR(C48="",E48=""),"",C48+E48)</f>
        <v/>
      </c>
      <c r="L48" s="22" t="n"/>
      <c r="N48" t="inlineStr">
        <is>
          <t>Sensor de Temperatura</t>
        </is>
      </c>
      <c r="O48" t="n">
        <v>100000</v>
      </c>
    </row>
    <row r="49" ht="22" customHeight="1">
      <c r="A49" s="27" t="n">
        <v>46</v>
      </c>
      <c r="B49" s="28" t="n"/>
      <c r="C49" s="29" t="n"/>
      <c r="D49" s="27" t="n"/>
      <c r="E49" s="29">
        <f>IF(D49="","",VLOOKUP(D49,$N$1:$O$50,2,FALSE))</f>
        <v/>
      </c>
      <c r="F49" s="27" t="n"/>
      <c r="G49" s="30" t="n"/>
      <c r="H49" s="29" t="n"/>
      <c r="I49" s="29">
        <f>IF(OR(C49="",H49=""),"",C49-H49)</f>
        <v/>
      </c>
      <c r="J49" s="31">
        <f>IF(OR(B49="",H49=""),"",B49-IFERROR(INDEX(B$4:B$153,MATCH(1,(D$4:D$153=D49)*(C$4:C$153=H49),0)),B49))</f>
        <v/>
      </c>
      <c r="K49" s="29">
        <f>IF(OR(C49="",E49=""),"",C49+E49)</f>
        <v/>
      </c>
      <c r="L49" s="27" t="n"/>
      <c r="N49" t="inlineStr">
        <is>
          <t>Sensor de Pressão do Óleo</t>
        </is>
      </c>
      <c r="O49" t="n">
        <v>100000</v>
      </c>
    </row>
    <row r="50" ht="22" customHeight="1">
      <c r="A50" s="22" t="n">
        <v>47</v>
      </c>
      <c r="B50" s="23" t="n"/>
      <c r="C50" s="24" t="n"/>
      <c r="D50" s="22" t="n"/>
      <c r="E50" s="24">
        <f>IF(D50="","",VLOOKUP(D50,$N$1:$O$50,2,FALSE))</f>
        <v/>
      </c>
      <c r="F50" s="22" t="n"/>
      <c r="G50" s="25" t="n"/>
      <c r="H50" s="24" t="n"/>
      <c r="I50" s="24">
        <f>IF(OR(C50="",H50=""),"",C50-H50)</f>
        <v/>
      </c>
      <c r="J50" s="26">
        <f>IF(OR(B50="",H50=""),"",B50-IFERROR(INDEX(B$4:B$153,MATCH(1,(D$4:D$153=D50)*(C$4:C$153=H50),0)),B50))</f>
        <v/>
      </c>
      <c r="K50" s="24">
        <f>IF(OR(C50="",E50=""),"",C50+E50)</f>
        <v/>
      </c>
      <c r="L50" s="22" t="n"/>
      <c r="N50" t="inlineStr">
        <is>
          <t>Junta do Cabeçote</t>
        </is>
      </c>
      <c r="O50" t="n">
        <v>200000</v>
      </c>
    </row>
    <row r="51" ht="22" customHeight="1">
      <c r="A51" s="27" t="n">
        <v>48</v>
      </c>
      <c r="B51" s="28" t="n"/>
      <c r="C51" s="29" t="n"/>
      <c r="D51" s="27" t="n"/>
      <c r="E51" s="29">
        <f>IF(D51="","",VLOOKUP(D51,$N$1:$O$50,2,FALSE))</f>
        <v/>
      </c>
      <c r="F51" s="27" t="n"/>
      <c r="G51" s="30" t="n"/>
      <c r="H51" s="29" t="n"/>
      <c r="I51" s="29">
        <f>IF(OR(C51="",H51=""),"",C51-H51)</f>
        <v/>
      </c>
      <c r="J51" s="31">
        <f>IF(OR(B51="",H51=""),"",B51-IFERROR(INDEX(B$4:B$153,MATCH(1,(D$4:D$153=D51)*(C$4:C$153=H51),0)),B51))</f>
        <v/>
      </c>
      <c r="K51" s="29">
        <f>IF(OR(C51="",E51=""),"",C51+E51)</f>
        <v/>
      </c>
      <c r="L51" s="27" t="n"/>
    </row>
    <row r="52" ht="22" customHeight="1">
      <c r="A52" s="22" t="n">
        <v>49</v>
      </c>
      <c r="B52" s="23" t="n"/>
      <c r="C52" s="24" t="n"/>
      <c r="D52" s="22" t="n"/>
      <c r="E52" s="24">
        <f>IF(D52="","",VLOOKUP(D52,$N$1:$O$50,2,FALSE))</f>
        <v/>
      </c>
      <c r="F52" s="22" t="n"/>
      <c r="G52" s="25" t="n"/>
      <c r="H52" s="24" t="n"/>
      <c r="I52" s="24">
        <f>IF(OR(C52="",H52=""),"",C52-H52)</f>
        <v/>
      </c>
      <c r="J52" s="26">
        <f>IF(OR(B52="",H52=""),"",B52-IFERROR(INDEX(B$4:B$153,MATCH(1,(D$4:D$153=D52)*(C$4:C$153=H52),0)),B52))</f>
        <v/>
      </c>
      <c r="K52" s="24">
        <f>IF(OR(C52="",E52=""),"",C52+E52)</f>
        <v/>
      </c>
      <c r="L52" s="22" t="n"/>
    </row>
    <row r="53" ht="22" customHeight="1">
      <c r="A53" s="27" t="n">
        <v>50</v>
      </c>
      <c r="B53" s="28" t="n"/>
      <c r="C53" s="29" t="n"/>
      <c r="D53" s="27" t="n"/>
      <c r="E53" s="29">
        <f>IF(D53="","",VLOOKUP(D53,$N$1:$O$50,2,FALSE))</f>
        <v/>
      </c>
      <c r="F53" s="27" t="n"/>
      <c r="G53" s="30" t="n"/>
      <c r="H53" s="29" t="n"/>
      <c r="I53" s="29">
        <f>IF(OR(C53="",H53=""),"",C53-H53)</f>
        <v/>
      </c>
      <c r="J53" s="31">
        <f>IF(OR(B53="",H53=""),"",B53-IFERROR(INDEX(B$4:B$153,MATCH(1,(D$4:D$153=D53)*(C$4:C$153=H53),0)),B53))</f>
        <v/>
      </c>
      <c r="K53" s="29">
        <f>IF(OR(C53="",E53=""),"",C53+E53)</f>
        <v/>
      </c>
      <c r="L53" s="27" t="n"/>
    </row>
    <row r="54" ht="22" customHeight="1">
      <c r="A54" s="22" t="n">
        <v>51</v>
      </c>
      <c r="B54" s="23" t="n"/>
      <c r="C54" s="24" t="n"/>
      <c r="D54" s="22" t="n"/>
      <c r="E54" s="24">
        <f>IF(D54="","",VLOOKUP(D54,$N$1:$O$50,2,FALSE))</f>
        <v/>
      </c>
      <c r="F54" s="22" t="n"/>
      <c r="G54" s="25" t="n"/>
      <c r="H54" s="24" t="n"/>
      <c r="I54" s="24">
        <f>IF(OR(C54="",H54=""),"",C54-H54)</f>
        <v/>
      </c>
      <c r="J54" s="26">
        <f>IF(OR(B54="",H54=""),"",B54-IFERROR(INDEX(B$4:B$153,MATCH(1,(D$4:D$153=D54)*(C$4:C$153=H54),0)),B54))</f>
        <v/>
      </c>
      <c r="K54" s="24">
        <f>IF(OR(C54="",E54=""),"",C54+E54)</f>
        <v/>
      </c>
      <c r="L54" s="22" t="n"/>
    </row>
    <row r="55" ht="22" customHeight="1">
      <c r="A55" s="27" t="n">
        <v>52</v>
      </c>
      <c r="B55" s="28" t="n"/>
      <c r="C55" s="29" t="n"/>
      <c r="D55" s="27" t="n"/>
      <c r="E55" s="29">
        <f>IF(D55="","",VLOOKUP(D55,$N$1:$O$50,2,FALSE))</f>
        <v/>
      </c>
      <c r="F55" s="27" t="n"/>
      <c r="G55" s="30" t="n"/>
      <c r="H55" s="29" t="n"/>
      <c r="I55" s="29">
        <f>IF(OR(C55="",H55=""),"",C55-H55)</f>
        <v/>
      </c>
      <c r="J55" s="31">
        <f>IF(OR(B55="",H55=""),"",B55-IFERROR(INDEX(B$4:B$153,MATCH(1,(D$4:D$153=D55)*(C$4:C$153=H55),0)),B55))</f>
        <v/>
      </c>
      <c r="K55" s="29">
        <f>IF(OR(C55="",E55=""),"",C55+E55)</f>
        <v/>
      </c>
      <c r="L55" s="27" t="n"/>
    </row>
    <row r="56" ht="22" customHeight="1">
      <c r="A56" s="22" t="n">
        <v>53</v>
      </c>
      <c r="B56" s="23" t="n"/>
      <c r="C56" s="24" t="n"/>
      <c r="D56" s="22" t="n"/>
      <c r="E56" s="24">
        <f>IF(D56="","",VLOOKUP(D56,$N$1:$O$50,2,FALSE))</f>
        <v/>
      </c>
      <c r="F56" s="22" t="n"/>
      <c r="G56" s="25" t="n"/>
      <c r="H56" s="24" t="n"/>
      <c r="I56" s="24">
        <f>IF(OR(C56="",H56=""),"",C56-H56)</f>
        <v/>
      </c>
      <c r="J56" s="26">
        <f>IF(OR(B56="",H56=""),"",B56-IFERROR(INDEX(B$4:B$153,MATCH(1,(D$4:D$153=D56)*(C$4:C$153=H56),0)),B56))</f>
        <v/>
      </c>
      <c r="K56" s="24">
        <f>IF(OR(C56="",E56=""),"",C56+E56)</f>
        <v/>
      </c>
      <c r="L56" s="22" t="n"/>
    </row>
    <row r="57" ht="22" customHeight="1">
      <c r="A57" s="27" t="n">
        <v>54</v>
      </c>
      <c r="B57" s="28" t="n"/>
      <c r="C57" s="29" t="n"/>
      <c r="D57" s="27" t="n"/>
      <c r="E57" s="29">
        <f>IF(D57="","",VLOOKUP(D57,$N$1:$O$50,2,FALSE))</f>
        <v/>
      </c>
      <c r="F57" s="27" t="n"/>
      <c r="G57" s="30" t="n"/>
      <c r="H57" s="29" t="n"/>
      <c r="I57" s="29">
        <f>IF(OR(C57="",H57=""),"",C57-H57)</f>
        <v/>
      </c>
      <c r="J57" s="31">
        <f>IF(OR(B57="",H57=""),"",B57-IFERROR(INDEX(B$4:B$153,MATCH(1,(D$4:D$153=D57)*(C$4:C$153=H57),0)),B57))</f>
        <v/>
      </c>
      <c r="K57" s="29">
        <f>IF(OR(C57="",E57=""),"",C57+E57)</f>
        <v/>
      </c>
      <c r="L57" s="27" t="n"/>
    </row>
    <row r="58" ht="22" customHeight="1">
      <c r="A58" s="22" t="n">
        <v>55</v>
      </c>
      <c r="B58" s="23" t="n"/>
      <c r="C58" s="24" t="n"/>
      <c r="D58" s="22" t="n"/>
      <c r="E58" s="24">
        <f>IF(D58="","",VLOOKUP(D58,$N$1:$O$50,2,FALSE))</f>
        <v/>
      </c>
      <c r="F58" s="22" t="n"/>
      <c r="G58" s="25" t="n"/>
      <c r="H58" s="24" t="n"/>
      <c r="I58" s="24">
        <f>IF(OR(C58="",H58=""),"",C58-H58)</f>
        <v/>
      </c>
      <c r="J58" s="26">
        <f>IF(OR(B58="",H58=""),"",B58-IFERROR(INDEX(B$4:B$153,MATCH(1,(D$4:D$153=D58)*(C$4:C$153=H58),0)),B58))</f>
        <v/>
      </c>
      <c r="K58" s="24">
        <f>IF(OR(C58="",E58=""),"",C58+E58)</f>
        <v/>
      </c>
      <c r="L58" s="22" t="n"/>
    </row>
    <row r="59" ht="22" customHeight="1">
      <c r="A59" s="27" t="n">
        <v>56</v>
      </c>
      <c r="B59" s="28" t="n"/>
      <c r="C59" s="29" t="n"/>
      <c r="D59" s="27" t="n"/>
      <c r="E59" s="29">
        <f>IF(D59="","",VLOOKUP(D59,$N$1:$O$50,2,FALSE))</f>
        <v/>
      </c>
      <c r="F59" s="27" t="n"/>
      <c r="G59" s="30" t="n"/>
      <c r="H59" s="29" t="n"/>
      <c r="I59" s="29">
        <f>IF(OR(C59="",H59=""),"",C59-H59)</f>
        <v/>
      </c>
      <c r="J59" s="31">
        <f>IF(OR(B59="",H59=""),"",B59-IFERROR(INDEX(B$4:B$153,MATCH(1,(D$4:D$153=D59)*(C$4:C$153=H59),0)),B59))</f>
        <v/>
      </c>
      <c r="K59" s="29">
        <f>IF(OR(C59="",E59=""),"",C59+E59)</f>
        <v/>
      </c>
      <c r="L59" s="27" t="n"/>
    </row>
    <row r="60" ht="22" customHeight="1">
      <c r="A60" s="22" t="n">
        <v>57</v>
      </c>
      <c r="B60" s="23" t="n"/>
      <c r="C60" s="24" t="n"/>
      <c r="D60" s="22" t="n"/>
      <c r="E60" s="24">
        <f>IF(D60="","",VLOOKUP(D60,$N$1:$O$50,2,FALSE))</f>
        <v/>
      </c>
      <c r="F60" s="22" t="n"/>
      <c r="G60" s="25" t="n"/>
      <c r="H60" s="24" t="n"/>
      <c r="I60" s="24">
        <f>IF(OR(C60="",H60=""),"",C60-H60)</f>
        <v/>
      </c>
      <c r="J60" s="26">
        <f>IF(OR(B60="",H60=""),"",B60-IFERROR(INDEX(B$4:B$153,MATCH(1,(D$4:D$153=D60)*(C$4:C$153=H60),0)),B60))</f>
        <v/>
      </c>
      <c r="K60" s="24">
        <f>IF(OR(C60="",E60=""),"",C60+E60)</f>
        <v/>
      </c>
      <c r="L60" s="22" t="n"/>
    </row>
    <row r="61" ht="22" customHeight="1">
      <c r="A61" s="27" t="n">
        <v>58</v>
      </c>
      <c r="B61" s="28" t="n"/>
      <c r="C61" s="29" t="n"/>
      <c r="D61" s="27" t="n"/>
      <c r="E61" s="29">
        <f>IF(D61="","",VLOOKUP(D61,$N$1:$O$50,2,FALSE))</f>
        <v/>
      </c>
      <c r="F61" s="27" t="n"/>
      <c r="G61" s="30" t="n"/>
      <c r="H61" s="29" t="n"/>
      <c r="I61" s="29">
        <f>IF(OR(C61="",H61=""),"",C61-H61)</f>
        <v/>
      </c>
      <c r="J61" s="31">
        <f>IF(OR(B61="",H61=""),"",B61-IFERROR(INDEX(B$4:B$153,MATCH(1,(D$4:D$153=D61)*(C$4:C$153=H61),0)),B61))</f>
        <v/>
      </c>
      <c r="K61" s="29">
        <f>IF(OR(C61="",E61=""),"",C61+E61)</f>
        <v/>
      </c>
      <c r="L61" s="27" t="n"/>
    </row>
    <row r="62" ht="22" customHeight="1">
      <c r="A62" s="22" t="n">
        <v>59</v>
      </c>
      <c r="B62" s="23" t="n"/>
      <c r="C62" s="24" t="n"/>
      <c r="D62" s="22" t="n"/>
      <c r="E62" s="24">
        <f>IF(D62="","",VLOOKUP(D62,$N$1:$O$50,2,FALSE))</f>
        <v/>
      </c>
      <c r="F62" s="22" t="n"/>
      <c r="G62" s="25" t="n"/>
      <c r="H62" s="24" t="n"/>
      <c r="I62" s="24">
        <f>IF(OR(C62="",H62=""),"",C62-H62)</f>
        <v/>
      </c>
      <c r="J62" s="26">
        <f>IF(OR(B62="",H62=""),"",B62-IFERROR(INDEX(B$4:B$153,MATCH(1,(D$4:D$153=D62)*(C$4:C$153=H62),0)),B62))</f>
        <v/>
      </c>
      <c r="K62" s="24">
        <f>IF(OR(C62="",E62=""),"",C62+E62)</f>
        <v/>
      </c>
      <c r="L62" s="22" t="n"/>
    </row>
    <row r="63" ht="22" customHeight="1">
      <c r="A63" s="27" t="n">
        <v>60</v>
      </c>
      <c r="B63" s="28" t="n"/>
      <c r="C63" s="29" t="n"/>
      <c r="D63" s="27" t="n"/>
      <c r="E63" s="29">
        <f>IF(D63="","",VLOOKUP(D63,$N$1:$O$50,2,FALSE))</f>
        <v/>
      </c>
      <c r="F63" s="27" t="n"/>
      <c r="G63" s="30" t="n"/>
      <c r="H63" s="29" t="n"/>
      <c r="I63" s="29">
        <f>IF(OR(C63="",H63=""),"",C63-H63)</f>
        <v/>
      </c>
      <c r="J63" s="31">
        <f>IF(OR(B63="",H63=""),"",B63-IFERROR(INDEX(B$4:B$153,MATCH(1,(D$4:D$153=D63)*(C$4:C$153=H63),0)),B63))</f>
        <v/>
      </c>
      <c r="K63" s="29">
        <f>IF(OR(C63="",E63=""),"",C63+E63)</f>
        <v/>
      </c>
      <c r="L63" s="27" t="n"/>
    </row>
    <row r="64" ht="22" customHeight="1">
      <c r="A64" s="22" t="n">
        <v>61</v>
      </c>
      <c r="B64" s="23" t="n"/>
      <c r="C64" s="24" t="n"/>
      <c r="D64" s="22" t="n"/>
      <c r="E64" s="24">
        <f>IF(D64="","",VLOOKUP(D64,$N$1:$O$50,2,FALSE))</f>
        <v/>
      </c>
      <c r="F64" s="22" t="n"/>
      <c r="G64" s="25" t="n"/>
      <c r="H64" s="24" t="n"/>
      <c r="I64" s="24">
        <f>IF(OR(C64="",H64=""),"",C64-H64)</f>
        <v/>
      </c>
      <c r="J64" s="26">
        <f>IF(OR(B64="",H64=""),"",B64-IFERROR(INDEX(B$4:B$153,MATCH(1,(D$4:D$153=D64)*(C$4:C$153=H64),0)),B64))</f>
        <v/>
      </c>
      <c r="K64" s="24">
        <f>IF(OR(C64="",E64=""),"",C64+E64)</f>
        <v/>
      </c>
      <c r="L64" s="22" t="n"/>
    </row>
    <row r="65" ht="22" customHeight="1">
      <c r="A65" s="27" t="n">
        <v>62</v>
      </c>
      <c r="B65" s="28" t="n"/>
      <c r="C65" s="29" t="n"/>
      <c r="D65" s="27" t="n"/>
      <c r="E65" s="29">
        <f>IF(D65="","",VLOOKUP(D65,$N$1:$O$50,2,FALSE))</f>
        <v/>
      </c>
      <c r="F65" s="27" t="n"/>
      <c r="G65" s="30" t="n"/>
      <c r="H65" s="29" t="n"/>
      <c r="I65" s="29">
        <f>IF(OR(C65="",H65=""),"",C65-H65)</f>
        <v/>
      </c>
      <c r="J65" s="31">
        <f>IF(OR(B65="",H65=""),"",B65-IFERROR(INDEX(B$4:B$153,MATCH(1,(D$4:D$153=D65)*(C$4:C$153=H65),0)),B65))</f>
        <v/>
      </c>
      <c r="K65" s="29">
        <f>IF(OR(C65="",E65=""),"",C65+E65)</f>
        <v/>
      </c>
      <c r="L65" s="27" t="n"/>
    </row>
    <row r="66" ht="22" customHeight="1">
      <c r="A66" s="22" t="n">
        <v>63</v>
      </c>
      <c r="B66" s="23" t="n"/>
      <c r="C66" s="24" t="n"/>
      <c r="D66" s="22" t="n"/>
      <c r="E66" s="24">
        <f>IF(D66="","",VLOOKUP(D66,$N$1:$O$50,2,FALSE))</f>
        <v/>
      </c>
      <c r="F66" s="22" t="n"/>
      <c r="G66" s="25" t="n"/>
      <c r="H66" s="24" t="n"/>
      <c r="I66" s="24">
        <f>IF(OR(C66="",H66=""),"",C66-H66)</f>
        <v/>
      </c>
      <c r="J66" s="26">
        <f>IF(OR(B66="",H66=""),"",B66-IFERROR(INDEX(B$4:B$153,MATCH(1,(D$4:D$153=D66)*(C$4:C$153=H66),0)),B66))</f>
        <v/>
      </c>
      <c r="K66" s="24">
        <f>IF(OR(C66="",E66=""),"",C66+E66)</f>
        <v/>
      </c>
      <c r="L66" s="22" t="n"/>
    </row>
    <row r="67" ht="22" customHeight="1">
      <c r="A67" s="27" t="n">
        <v>64</v>
      </c>
      <c r="B67" s="28" t="n"/>
      <c r="C67" s="29" t="n"/>
      <c r="D67" s="27" t="n"/>
      <c r="E67" s="29">
        <f>IF(D67="","",VLOOKUP(D67,$N$1:$O$50,2,FALSE))</f>
        <v/>
      </c>
      <c r="F67" s="27" t="n"/>
      <c r="G67" s="30" t="n"/>
      <c r="H67" s="29" t="n"/>
      <c r="I67" s="29">
        <f>IF(OR(C67="",H67=""),"",C67-H67)</f>
        <v/>
      </c>
      <c r="J67" s="31">
        <f>IF(OR(B67="",H67=""),"",B67-IFERROR(INDEX(B$4:B$153,MATCH(1,(D$4:D$153=D67)*(C$4:C$153=H67),0)),B67))</f>
        <v/>
      </c>
      <c r="K67" s="29">
        <f>IF(OR(C67="",E67=""),"",C67+E67)</f>
        <v/>
      </c>
      <c r="L67" s="27" t="n"/>
    </row>
    <row r="68" ht="22" customHeight="1">
      <c r="A68" s="22" t="n">
        <v>65</v>
      </c>
      <c r="B68" s="23" t="n"/>
      <c r="C68" s="24" t="n"/>
      <c r="D68" s="22" t="n"/>
      <c r="E68" s="24">
        <f>IF(D68="","",VLOOKUP(D68,$N$1:$O$50,2,FALSE))</f>
        <v/>
      </c>
      <c r="F68" s="22" t="n"/>
      <c r="G68" s="25" t="n"/>
      <c r="H68" s="24" t="n"/>
      <c r="I68" s="24">
        <f>IF(OR(C68="",H68=""),"",C68-H68)</f>
        <v/>
      </c>
      <c r="J68" s="26">
        <f>IF(OR(B68="",H68=""),"",B68-IFERROR(INDEX(B$4:B$153,MATCH(1,(D$4:D$153=D68)*(C$4:C$153=H68),0)),B68))</f>
        <v/>
      </c>
      <c r="K68" s="24">
        <f>IF(OR(C68="",E68=""),"",C68+E68)</f>
        <v/>
      </c>
      <c r="L68" s="22" t="n"/>
    </row>
    <row r="69" ht="22" customHeight="1">
      <c r="A69" s="27" t="n">
        <v>66</v>
      </c>
      <c r="B69" s="28" t="n"/>
      <c r="C69" s="29" t="n"/>
      <c r="D69" s="27" t="n"/>
      <c r="E69" s="29">
        <f>IF(D69="","",VLOOKUP(D69,$N$1:$O$50,2,FALSE))</f>
        <v/>
      </c>
      <c r="F69" s="27" t="n"/>
      <c r="G69" s="30" t="n"/>
      <c r="H69" s="29" t="n"/>
      <c r="I69" s="29">
        <f>IF(OR(C69="",H69=""),"",C69-H69)</f>
        <v/>
      </c>
      <c r="J69" s="31">
        <f>IF(OR(B69="",H69=""),"",B69-IFERROR(INDEX(B$4:B$153,MATCH(1,(D$4:D$153=D69)*(C$4:C$153=H69),0)),B69))</f>
        <v/>
      </c>
      <c r="K69" s="29">
        <f>IF(OR(C69="",E69=""),"",C69+E69)</f>
        <v/>
      </c>
      <c r="L69" s="27" t="n"/>
    </row>
    <row r="70" ht="22" customHeight="1">
      <c r="A70" s="22" t="n">
        <v>67</v>
      </c>
      <c r="B70" s="23" t="n"/>
      <c r="C70" s="24" t="n"/>
      <c r="D70" s="22" t="n"/>
      <c r="E70" s="24">
        <f>IF(D70="","",VLOOKUP(D70,$N$1:$O$50,2,FALSE))</f>
        <v/>
      </c>
      <c r="F70" s="22" t="n"/>
      <c r="G70" s="25" t="n"/>
      <c r="H70" s="24" t="n"/>
      <c r="I70" s="24">
        <f>IF(OR(C70="",H70=""),"",C70-H70)</f>
        <v/>
      </c>
      <c r="J70" s="26">
        <f>IF(OR(B70="",H70=""),"",B70-IFERROR(INDEX(B$4:B$153,MATCH(1,(D$4:D$153=D70)*(C$4:C$153=H70),0)),B70))</f>
        <v/>
      </c>
      <c r="K70" s="24">
        <f>IF(OR(C70="",E70=""),"",C70+E70)</f>
        <v/>
      </c>
      <c r="L70" s="22" t="n"/>
    </row>
    <row r="71" ht="22" customHeight="1">
      <c r="A71" s="27" t="n">
        <v>68</v>
      </c>
      <c r="B71" s="28" t="n"/>
      <c r="C71" s="29" t="n"/>
      <c r="D71" s="27" t="n"/>
      <c r="E71" s="29">
        <f>IF(D71="","",VLOOKUP(D71,$N$1:$O$50,2,FALSE))</f>
        <v/>
      </c>
      <c r="F71" s="27" t="n"/>
      <c r="G71" s="30" t="n"/>
      <c r="H71" s="29" t="n"/>
      <c r="I71" s="29">
        <f>IF(OR(C71="",H71=""),"",C71-H71)</f>
        <v/>
      </c>
      <c r="J71" s="31">
        <f>IF(OR(B71="",H71=""),"",B71-IFERROR(INDEX(B$4:B$153,MATCH(1,(D$4:D$153=D71)*(C$4:C$153=H71),0)),B71))</f>
        <v/>
      </c>
      <c r="K71" s="29">
        <f>IF(OR(C71="",E71=""),"",C71+E71)</f>
        <v/>
      </c>
      <c r="L71" s="27" t="n"/>
    </row>
    <row r="72" ht="22" customHeight="1">
      <c r="A72" s="22" t="n">
        <v>69</v>
      </c>
      <c r="B72" s="23" t="n"/>
      <c r="C72" s="24" t="n"/>
      <c r="D72" s="22" t="n"/>
      <c r="E72" s="24">
        <f>IF(D72="","",VLOOKUP(D72,$N$1:$O$50,2,FALSE))</f>
        <v/>
      </c>
      <c r="F72" s="22" t="n"/>
      <c r="G72" s="25" t="n"/>
      <c r="H72" s="24" t="n"/>
      <c r="I72" s="24">
        <f>IF(OR(C72="",H72=""),"",C72-H72)</f>
        <v/>
      </c>
      <c r="J72" s="26">
        <f>IF(OR(B72="",H72=""),"",B72-IFERROR(INDEX(B$4:B$153,MATCH(1,(D$4:D$153=D72)*(C$4:C$153=H72),0)),B72))</f>
        <v/>
      </c>
      <c r="K72" s="24">
        <f>IF(OR(C72="",E72=""),"",C72+E72)</f>
        <v/>
      </c>
      <c r="L72" s="22" t="n"/>
    </row>
    <row r="73" ht="22" customHeight="1">
      <c r="A73" s="27" t="n">
        <v>70</v>
      </c>
      <c r="B73" s="28" t="n"/>
      <c r="C73" s="29" t="n"/>
      <c r="D73" s="27" t="n"/>
      <c r="E73" s="29">
        <f>IF(D73="","",VLOOKUP(D73,$N$1:$O$50,2,FALSE))</f>
        <v/>
      </c>
      <c r="F73" s="27" t="n"/>
      <c r="G73" s="30" t="n"/>
      <c r="H73" s="29" t="n"/>
      <c r="I73" s="29">
        <f>IF(OR(C73="",H73=""),"",C73-H73)</f>
        <v/>
      </c>
      <c r="J73" s="31">
        <f>IF(OR(B73="",H73=""),"",B73-IFERROR(INDEX(B$4:B$153,MATCH(1,(D$4:D$153=D73)*(C$4:C$153=H73),0)),B73))</f>
        <v/>
      </c>
      <c r="K73" s="29">
        <f>IF(OR(C73="",E73=""),"",C73+E73)</f>
        <v/>
      </c>
      <c r="L73" s="27" t="n"/>
    </row>
    <row r="74" ht="22" customHeight="1">
      <c r="A74" s="22" t="n">
        <v>71</v>
      </c>
      <c r="B74" s="23" t="n"/>
      <c r="C74" s="24" t="n"/>
      <c r="D74" s="22" t="n"/>
      <c r="E74" s="24">
        <f>IF(D74="","",VLOOKUP(D74,$N$1:$O$50,2,FALSE))</f>
        <v/>
      </c>
      <c r="F74" s="22" t="n"/>
      <c r="G74" s="25" t="n"/>
      <c r="H74" s="24" t="n"/>
      <c r="I74" s="24">
        <f>IF(OR(C74="",H74=""),"",C74-H74)</f>
        <v/>
      </c>
      <c r="J74" s="26">
        <f>IF(OR(B74="",H74=""),"",B74-IFERROR(INDEX(B$4:B$153,MATCH(1,(D$4:D$153=D74)*(C$4:C$153=H74),0)),B74))</f>
        <v/>
      </c>
      <c r="K74" s="24">
        <f>IF(OR(C74="",E74=""),"",C74+E74)</f>
        <v/>
      </c>
      <c r="L74" s="22" t="n"/>
    </row>
    <row r="75" ht="22" customHeight="1">
      <c r="A75" s="27" t="n">
        <v>72</v>
      </c>
      <c r="B75" s="28" t="n"/>
      <c r="C75" s="29" t="n"/>
      <c r="D75" s="27" t="n"/>
      <c r="E75" s="29">
        <f>IF(D75="","",VLOOKUP(D75,$N$1:$O$50,2,FALSE))</f>
        <v/>
      </c>
      <c r="F75" s="27" t="n"/>
      <c r="G75" s="30" t="n"/>
      <c r="H75" s="29" t="n"/>
      <c r="I75" s="29">
        <f>IF(OR(C75="",H75=""),"",C75-H75)</f>
        <v/>
      </c>
      <c r="J75" s="31">
        <f>IF(OR(B75="",H75=""),"",B75-IFERROR(INDEX(B$4:B$153,MATCH(1,(D$4:D$153=D75)*(C$4:C$153=H75),0)),B75))</f>
        <v/>
      </c>
      <c r="K75" s="29">
        <f>IF(OR(C75="",E75=""),"",C75+E75)</f>
        <v/>
      </c>
      <c r="L75" s="27" t="n"/>
    </row>
    <row r="76" ht="22" customHeight="1">
      <c r="A76" s="22" t="n">
        <v>73</v>
      </c>
      <c r="B76" s="23" t="n"/>
      <c r="C76" s="24" t="n"/>
      <c r="D76" s="22" t="n"/>
      <c r="E76" s="24">
        <f>IF(D76="","",VLOOKUP(D76,$N$1:$O$50,2,FALSE))</f>
        <v/>
      </c>
      <c r="F76" s="22" t="n"/>
      <c r="G76" s="25" t="n"/>
      <c r="H76" s="24" t="n"/>
      <c r="I76" s="24">
        <f>IF(OR(C76="",H76=""),"",C76-H76)</f>
        <v/>
      </c>
      <c r="J76" s="26">
        <f>IF(OR(B76="",H76=""),"",B76-IFERROR(INDEX(B$4:B$153,MATCH(1,(D$4:D$153=D76)*(C$4:C$153=H76),0)),B76))</f>
        <v/>
      </c>
      <c r="K76" s="24">
        <f>IF(OR(C76="",E76=""),"",C76+E76)</f>
        <v/>
      </c>
      <c r="L76" s="22" t="n"/>
    </row>
    <row r="77" ht="22" customHeight="1">
      <c r="A77" s="27" t="n">
        <v>74</v>
      </c>
      <c r="B77" s="28" t="n"/>
      <c r="C77" s="29" t="n"/>
      <c r="D77" s="27" t="n"/>
      <c r="E77" s="29">
        <f>IF(D77="","",VLOOKUP(D77,$N$1:$O$50,2,FALSE))</f>
        <v/>
      </c>
      <c r="F77" s="27" t="n"/>
      <c r="G77" s="30" t="n"/>
      <c r="H77" s="29" t="n"/>
      <c r="I77" s="29">
        <f>IF(OR(C77="",H77=""),"",C77-H77)</f>
        <v/>
      </c>
      <c r="J77" s="31">
        <f>IF(OR(B77="",H77=""),"",B77-IFERROR(INDEX(B$4:B$153,MATCH(1,(D$4:D$153=D77)*(C$4:C$153=H77),0)),B77))</f>
        <v/>
      </c>
      <c r="K77" s="29">
        <f>IF(OR(C77="",E77=""),"",C77+E77)</f>
        <v/>
      </c>
      <c r="L77" s="27" t="n"/>
    </row>
    <row r="78" ht="22" customHeight="1">
      <c r="A78" s="22" t="n">
        <v>75</v>
      </c>
      <c r="B78" s="23" t="n"/>
      <c r="C78" s="24" t="n"/>
      <c r="D78" s="22" t="n"/>
      <c r="E78" s="24">
        <f>IF(D78="","",VLOOKUP(D78,$N$1:$O$50,2,FALSE))</f>
        <v/>
      </c>
      <c r="F78" s="22" t="n"/>
      <c r="G78" s="25" t="n"/>
      <c r="H78" s="24" t="n"/>
      <c r="I78" s="24">
        <f>IF(OR(C78="",H78=""),"",C78-H78)</f>
        <v/>
      </c>
      <c r="J78" s="26">
        <f>IF(OR(B78="",H78=""),"",B78-IFERROR(INDEX(B$4:B$153,MATCH(1,(D$4:D$153=D78)*(C$4:C$153=H78),0)),B78))</f>
        <v/>
      </c>
      <c r="K78" s="24">
        <f>IF(OR(C78="",E78=""),"",C78+E78)</f>
        <v/>
      </c>
      <c r="L78" s="22" t="n"/>
    </row>
    <row r="79" ht="22" customHeight="1">
      <c r="A79" s="27" t="n">
        <v>76</v>
      </c>
      <c r="B79" s="28" t="n"/>
      <c r="C79" s="29" t="n"/>
      <c r="D79" s="27" t="n"/>
      <c r="E79" s="29">
        <f>IF(D79="","",VLOOKUP(D79,$N$1:$O$50,2,FALSE))</f>
        <v/>
      </c>
      <c r="F79" s="27" t="n"/>
      <c r="G79" s="30" t="n"/>
      <c r="H79" s="29" t="n"/>
      <c r="I79" s="29">
        <f>IF(OR(C79="",H79=""),"",C79-H79)</f>
        <v/>
      </c>
      <c r="J79" s="31">
        <f>IF(OR(B79="",H79=""),"",B79-IFERROR(INDEX(B$4:B$153,MATCH(1,(D$4:D$153=D79)*(C$4:C$153=H79),0)),B79))</f>
        <v/>
      </c>
      <c r="K79" s="29">
        <f>IF(OR(C79="",E79=""),"",C79+E79)</f>
        <v/>
      </c>
      <c r="L79" s="27" t="n"/>
    </row>
    <row r="80" ht="22" customHeight="1">
      <c r="A80" s="22" t="n">
        <v>77</v>
      </c>
      <c r="B80" s="23" t="n"/>
      <c r="C80" s="24" t="n"/>
      <c r="D80" s="22" t="n"/>
      <c r="E80" s="24">
        <f>IF(D80="","",VLOOKUP(D80,$N$1:$O$50,2,FALSE))</f>
        <v/>
      </c>
      <c r="F80" s="22" t="n"/>
      <c r="G80" s="25" t="n"/>
      <c r="H80" s="24" t="n"/>
      <c r="I80" s="24">
        <f>IF(OR(C80="",H80=""),"",C80-H80)</f>
        <v/>
      </c>
      <c r="J80" s="26">
        <f>IF(OR(B80="",H80=""),"",B80-IFERROR(INDEX(B$4:B$153,MATCH(1,(D$4:D$153=D80)*(C$4:C$153=H80),0)),B80))</f>
        <v/>
      </c>
      <c r="K80" s="24">
        <f>IF(OR(C80="",E80=""),"",C80+E80)</f>
        <v/>
      </c>
      <c r="L80" s="22" t="n"/>
    </row>
    <row r="81" ht="22" customHeight="1">
      <c r="A81" s="27" t="n">
        <v>78</v>
      </c>
      <c r="B81" s="28" t="n"/>
      <c r="C81" s="29" t="n"/>
      <c r="D81" s="27" t="n"/>
      <c r="E81" s="29">
        <f>IF(D81="","",VLOOKUP(D81,$N$1:$O$50,2,FALSE))</f>
        <v/>
      </c>
      <c r="F81" s="27" t="n"/>
      <c r="G81" s="30" t="n"/>
      <c r="H81" s="29" t="n"/>
      <c r="I81" s="29">
        <f>IF(OR(C81="",H81=""),"",C81-H81)</f>
        <v/>
      </c>
      <c r="J81" s="31">
        <f>IF(OR(B81="",H81=""),"",B81-IFERROR(INDEX(B$4:B$153,MATCH(1,(D$4:D$153=D81)*(C$4:C$153=H81),0)),B81))</f>
        <v/>
      </c>
      <c r="K81" s="29">
        <f>IF(OR(C81="",E81=""),"",C81+E81)</f>
        <v/>
      </c>
      <c r="L81" s="27" t="n"/>
    </row>
    <row r="82" ht="22" customHeight="1">
      <c r="A82" s="22" t="n">
        <v>79</v>
      </c>
      <c r="B82" s="23" t="n"/>
      <c r="C82" s="24" t="n"/>
      <c r="D82" s="22" t="n"/>
      <c r="E82" s="24">
        <f>IF(D82="","",VLOOKUP(D82,$N$1:$O$50,2,FALSE))</f>
        <v/>
      </c>
      <c r="F82" s="22" t="n"/>
      <c r="G82" s="25" t="n"/>
      <c r="H82" s="24" t="n"/>
      <c r="I82" s="24">
        <f>IF(OR(C82="",H82=""),"",C82-H82)</f>
        <v/>
      </c>
      <c r="J82" s="26">
        <f>IF(OR(B82="",H82=""),"",B82-IFERROR(INDEX(B$4:B$153,MATCH(1,(D$4:D$153=D82)*(C$4:C$153=H82),0)),B82))</f>
        <v/>
      </c>
      <c r="K82" s="24">
        <f>IF(OR(C82="",E82=""),"",C82+E82)</f>
        <v/>
      </c>
      <c r="L82" s="22" t="n"/>
    </row>
    <row r="83" ht="22" customHeight="1">
      <c r="A83" s="27" t="n">
        <v>80</v>
      </c>
      <c r="B83" s="28" t="n"/>
      <c r="C83" s="29" t="n"/>
      <c r="D83" s="27" t="n"/>
      <c r="E83" s="29">
        <f>IF(D83="","",VLOOKUP(D83,$N$1:$O$50,2,FALSE))</f>
        <v/>
      </c>
      <c r="F83" s="27" t="n"/>
      <c r="G83" s="30" t="n"/>
      <c r="H83" s="29" t="n"/>
      <c r="I83" s="29">
        <f>IF(OR(C83="",H83=""),"",C83-H83)</f>
        <v/>
      </c>
      <c r="J83" s="31">
        <f>IF(OR(B83="",H83=""),"",B83-IFERROR(INDEX(B$4:B$153,MATCH(1,(D$4:D$153=D83)*(C$4:C$153=H83),0)),B83))</f>
        <v/>
      </c>
      <c r="K83" s="29">
        <f>IF(OR(C83="",E83=""),"",C83+E83)</f>
        <v/>
      </c>
      <c r="L83" s="27" t="n"/>
    </row>
    <row r="84" ht="22" customHeight="1">
      <c r="A84" s="22" t="n">
        <v>81</v>
      </c>
      <c r="B84" s="23" t="n"/>
      <c r="C84" s="24" t="n"/>
      <c r="D84" s="22" t="n"/>
      <c r="E84" s="24">
        <f>IF(D84="","",VLOOKUP(D84,$N$1:$O$50,2,FALSE))</f>
        <v/>
      </c>
      <c r="F84" s="22" t="n"/>
      <c r="G84" s="25" t="n"/>
      <c r="H84" s="24" t="n"/>
      <c r="I84" s="24">
        <f>IF(OR(C84="",H84=""),"",C84-H84)</f>
        <v/>
      </c>
      <c r="J84" s="26">
        <f>IF(OR(B84="",H84=""),"",B84-IFERROR(INDEX(B$4:B$153,MATCH(1,(D$4:D$153=D84)*(C$4:C$153=H84),0)),B84))</f>
        <v/>
      </c>
      <c r="K84" s="24">
        <f>IF(OR(C84="",E84=""),"",C84+E84)</f>
        <v/>
      </c>
      <c r="L84" s="22" t="n"/>
    </row>
    <row r="85" ht="22" customHeight="1">
      <c r="A85" s="27" t="n">
        <v>82</v>
      </c>
      <c r="B85" s="28" t="n"/>
      <c r="C85" s="29" t="n"/>
      <c r="D85" s="27" t="n"/>
      <c r="E85" s="29">
        <f>IF(D85="","",VLOOKUP(D85,$N$1:$O$50,2,FALSE))</f>
        <v/>
      </c>
      <c r="F85" s="27" t="n"/>
      <c r="G85" s="30" t="n"/>
      <c r="H85" s="29" t="n"/>
      <c r="I85" s="29">
        <f>IF(OR(C85="",H85=""),"",C85-H85)</f>
        <v/>
      </c>
      <c r="J85" s="31">
        <f>IF(OR(B85="",H85=""),"",B85-IFERROR(INDEX(B$4:B$153,MATCH(1,(D$4:D$153=D85)*(C$4:C$153=H85),0)),B85))</f>
        <v/>
      </c>
      <c r="K85" s="29">
        <f>IF(OR(C85="",E85=""),"",C85+E85)</f>
        <v/>
      </c>
      <c r="L85" s="27" t="n"/>
    </row>
    <row r="86" ht="22" customHeight="1">
      <c r="A86" s="22" t="n">
        <v>83</v>
      </c>
      <c r="B86" s="23" t="n"/>
      <c r="C86" s="24" t="n"/>
      <c r="D86" s="22" t="n"/>
      <c r="E86" s="24">
        <f>IF(D86="","",VLOOKUP(D86,$N$1:$O$50,2,FALSE))</f>
        <v/>
      </c>
      <c r="F86" s="22" t="n"/>
      <c r="G86" s="25" t="n"/>
      <c r="H86" s="24" t="n"/>
      <c r="I86" s="24">
        <f>IF(OR(C86="",H86=""),"",C86-H86)</f>
        <v/>
      </c>
      <c r="J86" s="26">
        <f>IF(OR(B86="",H86=""),"",B86-IFERROR(INDEX(B$4:B$153,MATCH(1,(D$4:D$153=D86)*(C$4:C$153=H86),0)),B86))</f>
        <v/>
      </c>
      <c r="K86" s="24">
        <f>IF(OR(C86="",E86=""),"",C86+E86)</f>
        <v/>
      </c>
      <c r="L86" s="22" t="n"/>
    </row>
    <row r="87" ht="22" customHeight="1">
      <c r="A87" s="27" t="n">
        <v>84</v>
      </c>
      <c r="B87" s="28" t="n"/>
      <c r="C87" s="29" t="n"/>
      <c r="D87" s="27" t="n"/>
      <c r="E87" s="29">
        <f>IF(D87="","",VLOOKUP(D87,$N$1:$O$50,2,FALSE))</f>
        <v/>
      </c>
      <c r="F87" s="27" t="n"/>
      <c r="G87" s="30" t="n"/>
      <c r="H87" s="29" t="n"/>
      <c r="I87" s="29">
        <f>IF(OR(C87="",H87=""),"",C87-H87)</f>
        <v/>
      </c>
      <c r="J87" s="31">
        <f>IF(OR(B87="",H87=""),"",B87-IFERROR(INDEX(B$4:B$153,MATCH(1,(D$4:D$153=D87)*(C$4:C$153=H87),0)),B87))</f>
        <v/>
      </c>
      <c r="K87" s="29">
        <f>IF(OR(C87="",E87=""),"",C87+E87)</f>
        <v/>
      </c>
      <c r="L87" s="27" t="n"/>
    </row>
    <row r="88" ht="22" customHeight="1">
      <c r="A88" s="22" t="n">
        <v>85</v>
      </c>
      <c r="B88" s="23" t="n"/>
      <c r="C88" s="24" t="n"/>
      <c r="D88" s="22" t="n"/>
      <c r="E88" s="24">
        <f>IF(D88="","",VLOOKUP(D88,$N$1:$O$50,2,FALSE))</f>
        <v/>
      </c>
      <c r="F88" s="22" t="n"/>
      <c r="G88" s="25" t="n"/>
      <c r="H88" s="24" t="n"/>
      <c r="I88" s="24">
        <f>IF(OR(C88="",H88=""),"",C88-H88)</f>
        <v/>
      </c>
      <c r="J88" s="26">
        <f>IF(OR(B88="",H88=""),"",B88-IFERROR(INDEX(B$4:B$153,MATCH(1,(D$4:D$153=D88)*(C$4:C$153=H88),0)),B88))</f>
        <v/>
      </c>
      <c r="K88" s="24">
        <f>IF(OR(C88="",E88=""),"",C88+E88)</f>
        <v/>
      </c>
      <c r="L88" s="22" t="n"/>
    </row>
    <row r="89" ht="22" customHeight="1">
      <c r="A89" s="27" t="n">
        <v>86</v>
      </c>
      <c r="B89" s="28" t="n"/>
      <c r="C89" s="29" t="n"/>
      <c r="D89" s="27" t="n"/>
      <c r="E89" s="29">
        <f>IF(D89="","",VLOOKUP(D89,$N$1:$O$50,2,FALSE))</f>
        <v/>
      </c>
      <c r="F89" s="27" t="n"/>
      <c r="G89" s="30" t="n"/>
      <c r="H89" s="29" t="n"/>
      <c r="I89" s="29">
        <f>IF(OR(C89="",H89=""),"",C89-H89)</f>
        <v/>
      </c>
      <c r="J89" s="31">
        <f>IF(OR(B89="",H89=""),"",B89-IFERROR(INDEX(B$4:B$153,MATCH(1,(D$4:D$153=D89)*(C$4:C$153=H89),0)),B89))</f>
        <v/>
      </c>
      <c r="K89" s="29">
        <f>IF(OR(C89="",E89=""),"",C89+E89)</f>
        <v/>
      </c>
      <c r="L89" s="27" t="n"/>
    </row>
    <row r="90" ht="22" customHeight="1">
      <c r="A90" s="22" t="n">
        <v>87</v>
      </c>
      <c r="B90" s="23" t="n"/>
      <c r="C90" s="24" t="n"/>
      <c r="D90" s="22" t="n"/>
      <c r="E90" s="24">
        <f>IF(D90="","",VLOOKUP(D90,$N$1:$O$50,2,FALSE))</f>
        <v/>
      </c>
      <c r="F90" s="22" t="n"/>
      <c r="G90" s="25" t="n"/>
      <c r="H90" s="24" t="n"/>
      <c r="I90" s="24">
        <f>IF(OR(C90="",H90=""),"",C90-H90)</f>
        <v/>
      </c>
      <c r="J90" s="26">
        <f>IF(OR(B90="",H90=""),"",B90-IFERROR(INDEX(B$4:B$153,MATCH(1,(D$4:D$153=D90)*(C$4:C$153=H90),0)),B90))</f>
        <v/>
      </c>
      <c r="K90" s="24">
        <f>IF(OR(C90="",E90=""),"",C90+E90)</f>
        <v/>
      </c>
      <c r="L90" s="22" t="n"/>
    </row>
    <row r="91" ht="22" customHeight="1">
      <c r="A91" s="27" t="n">
        <v>88</v>
      </c>
      <c r="B91" s="28" t="n"/>
      <c r="C91" s="29" t="n"/>
      <c r="D91" s="27" t="n"/>
      <c r="E91" s="29">
        <f>IF(D91="","",VLOOKUP(D91,$N$1:$O$50,2,FALSE))</f>
        <v/>
      </c>
      <c r="F91" s="27" t="n"/>
      <c r="G91" s="30" t="n"/>
      <c r="H91" s="29" t="n"/>
      <c r="I91" s="29">
        <f>IF(OR(C91="",H91=""),"",C91-H91)</f>
        <v/>
      </c>
      <c r="J91" s="31">
        <f>IF(OR(B91="",H91=""),"",B91-IFERROR(INDEX(B$4:B$153,MATCH(1,(D$4:D$153=D91)*(C$4:C$153=H91),0)),B91))</f>
        <v/>
      </c>
      <c r="K91" s="29">
        <f>IF(OR(C91="",E91=""),"",C91+E91)</f>
        <v/>
      </c>
      <c r="L91" s="27" t="n"/>
    </row>
    <row r="92" ht="22" customHeight="1">
      <c r="A92" s="22" t="n">
        <v>89</v>
      </c>
      <c r="B92" s="23" t="n"/>
      <c r="C92" s="24" t="n"/>
      <c r="D92" s="22" t="n"/>
      <c r="E92" s="24">
        <f>IF(D92="","",VLOOKUP(D92,$N$1:$O$50,2,FALSE))</f>
        <v/>
      </c>
      <c r="F92" s="22" t="n"/>
      <c r="G92" s="25" t="n"/>
      <c r="H92" s="24" t="n"/>
      <c r="I92" s="24">
        <f>IF(OR(C92="",H92=""),"",C92-H92)</f>
        <v/>
      </c>
      <c r="J92" s="26">
        <f>IF(OR(B92="",H92=""),"",B92-IFERROR(INDEX(B$4:B$153,MATCH(1,(D$4:D$153=D92)*(C$4:C$153=H92),0)),B92))</f>
        <v/>
      </c>
      <c r="K92" s="24">
        <f>IF(OR(C92="",E92=""),"",C92+E92)</f>
        <v/>
      </c>
      <c r="L92" s="22" t="n"/>
    </row>
    <row r="93" ht="22" customHeight="1">
      <c r="A93" s="27" t="n">
        <v>90</v>
      </c>
      <c r="B93" s="28" t="n"/>
      <c r="C93" s="29" t="n"/>
      <c r="D93" s="27" t="n"/>
      <c r="E93" s="29">
        <f>IF(D93="","",VLOOKUP(D93,$N$1:$O$50,2,FALSE))</f>
        <v/>
      </c>
      <c r="F93" s="27" t="n"/>
      <c r="G93" s="30" t="n"/>
      <c r="H93" s="29" t="n"/>
      <c r="I93" s="29">
        <f>IF(OR(C93="",H93=""),"",C93-H93)</f>
        <v/>
      </c>
      <c r="J93" s="31">
        <f>IF(OR(B93="",H93=""),"",B93-IFERROR(INDEX(B$4:B$153,MATCH(1,(D$4:D$153=D93)*(C$4:C$153=H93),0)),B93))</f>
        <v/>
      </c>
      <c r="K93" s="29">
        <f>IF(OR(C93="",E93=""),"",C93+E93)</f>
        <v/>
      </c>
      <c r="L93" s="27" t="n"/>
    </row>
    <row r="94" ht="22" customHeight="1">
      <c r="A94" s="22" t="n">
        <v>91</v>
      </c>
      <c r="B94" s="23" t="n"/>
      <c r="C94" s="24" t="n"/>
      <c r="D94" s="22" t="n"/>
      <c r="E94" s="24">
        <f>IF(D94="","",VLOOKUP(D94,$N$1:$O$50,2,FALSE))</f>
        <v/>
      </c>
      <c r="F94" s="22" t="n"/>
      <c r="G94" s="25" t="n"/>
      <c r="H94" s="24" t="n"/>
      <c r="I94" s="24">
        <f>IF(OR(C94="",H94=""),"",C94-H94)</f>
        <v/>
      </c>
      <c r="J94" s="26">
        <f>IF(OR(B94="",H94=""),"",B94-IFERROR(INDEX(B$4:B$153,MATCH(1,(D$4:D$153=D94)*(C$4:C$153=H94),0)),B94))</f>
        <v/>
      </c>
      <c r="K94" s="24">
        <f>IF(OR(C94="",E94=""),"",C94+E94)</f>
        <v/>
      </c>
      <c r="L94" s="22" t="n"/>
    </row>
    <row r="95" ht="22" customHeight="1">
      <c r="A95" s="27" t="n">
        <v>92</v>
      </c>
      <c r="B95" s="28" t="n"/>
      <c r="C95" s="29" t="n"/>
      <c r="D95" s="27" t="n"/>
      <c r="E95" s="29">
        <f>IF(D95="","",VLOOKUP(D95,$N$1:$O$50,2,FALSE))</f>
        <v/>
      </c>
      <c r="F95" s="27" t="n"/>
      <c r="G95" s="30" t="n"/>
      <c r="H95" s="29" t="n"/>
      <c r="I95" s="29">
        <f>IF(OR(C95="",H95=""),"",C95-H95)</f>
        <v/>
      </c>
      <c r="J95" s="31">
        <f>IF(OR(B95="",H95=""),"",B95-IFERROR(INDEX(B$4:B$153,MATCH(1,(D$4:D$153=D95)*(C$4:C$153=H95),0)),B95))</f>
        <v/>
      </c>
      <c r="K95" s="29">
        <f>IF(OR(C95="",E95=""),"",C95+E95)</f>
        <v/>
      </c>
      <c r="L95" s="27" t="n"/>
    </row>
    <row r="96" ht="22" customHeight="1">
      <c r="A96" s="22" t="n">
        <v>93</v>
      </c>
      <c r="B96" s="23" t="n"/>
      <c r="C96" s="24" t="n"/>
      <c r="D96" s="22" t="n"/>
      <c r="E96" s="24">
        <f>IF(D96="","",VLOOKUP(D96,$N$1:$O$50,2,FALSE))</f>
        <v/>
      </c>
      <c r="F96" s="22" t="n"/>
      <c r="G96" s="25" t="n"/>
      <c r="H96" s="24" t="n"/>
      <c r="I96" s="24">
        <f>IF(OR(C96="",H96=""),"",C96-H96)</f>
        <v/>
      </c>
      <c r="J96" s="26">
        <f>IF(OR(B96="",H96=""),"",B96-IFERROR(INDEX(B$4:B$153,MATCH(1,(D$4:D$153=D96)*(C$4:C$153=H96),0)),B96))</f>
        <v/>
      </c>
      <c r="K96" s="24">
        <f>IF(OR(C96="",E96=""),"",C96+E96)</f>
        <v/>
      </c>
      <c r="L96" s="22" t="n"/>
    </row>
    <row r="97" ht="22" customHeight="1">
      <c r="A97" s="27" t="n">
        <v>94</v>
      </c>
      <c r="B97" s="28" t="n"/>
      <c r="C97" s="29" t="n"/>
      <c r="D97" s="27" t="n"/>
      <c r="E97" s="29">
        <f>IF(D97="","",VLOOKUP(D97,$N$1:$O$50,2,FALSE))</f>
        <v/>
      </c>
      <c r="F97" s="27" t="n"/>
      <c r="G97" s="30" t="n"/>
      <c r="H97" s="29" t="n"/>
      <c r="I97" s="29">
        <f>IF(OR(C97="",H97=""),"",C97-H97)</f>
        <v/>
      </c>
      <c r="J97" s="31">
        <f>IF(OR(B97="",H97=""),"",B97-IFERROR(INDEX(B$4:B$153,MATCH(1,(D$4:D$153=D97)*(C$4:C$153=H97),0)),B97))</f>
        <v/>
      </c>
      <c r="K97" s="29">
        <f>IF(OR(C97="",E97=""),"",C97+E97)</f>
        <v/>
      </c>
      <c r="L97" s="27" t="n"/>
    </row>
    <row r="98" ht="22" customHeight="1">
      <c r="A98" s="22" t="n">
        <v>95</v>
      </c>
      <c r="B98" s="23" t="n"/>
      <c r="C98" s="24" t="n"/>
      <c r="D98" s="22" t="n"/>
      <c r="E98" s="24">
        <f>IF(D98="","",VLOOKUP(D98,$N$1:$O$50,2,FALSE))</f>
        <v/>
      </c>
      <c r="F98" s="22" t="n"/>
      <c r="G98" s="25" t="n"/>
      <c r="H98" s="24" t="n"/>
      <c r="I98" s="24">
        <f>IF(OR(C98="",H98=""),"",C98-H98)</f>
        <v/>
      </c>
      <c r="J98" s="26">
        <f>IF(OR(B98="",H98=""),"",B98-IFERROR(INDEX(B$4:B$153,MATCH(1,(D$4:D$153=D98)*(C$4:C$153=H98),0)),B98))</f>
        <v/>
      </c>
      <c r="K98" s="24">
        <f>IF(OR(C98="",E98=""),"",C98+E98)</f>
        <v/>
      </c>
      <c r="L98" s="22" t="n"/>
    </row>
    <row r="99" ht="22" customHeight="1">
      <c r="A99" s="27" t="n">
        <v>96</v>
      </c>
      <c r="B99" s="28" t="n"/>
      <c r="C99" s="29" t="n"/>
      <c r="D99" s="27" t="n"/>
      <c r="E99" s="29">
        <f>IF(D99="","",VLOOKUP(D99,$N$1:$O$50,2,FALSE))</f>
        <v/>
      </c>
      <c r="F99" s="27" t="n"/>
      <c r="G99" s="30" t="n"/>
      <c r="H99" s="29" t="n"/>
      <c r="I99" s="29">
        <f>IF(OR(C99="",H99=""),"",C99-H99)</f>
        <v/>
      </c>
      <c r="J99" s="31">
        <f>IF(OR(B99="",H99=""),"",B99-IFERROR(INDEX(B$4:B$153,MATCH(1,(D$4:D$153=D99)*(C$4:C$153=H99),0)),B99))</f>
        <v/>
      </c>
      <c r="K99" s="29">
        <f>IF(OR(C99="",E99=""),"",C99+E99)</f>
        <v/>
      </c>
      <c r="L99" s="27" t="n"/>
    </row>
    <row r="100" ht="22" customHeight="1">
      <c r="A100" s="22" t="n">
        <v>97</v>
      </c>
      <c r="B100" s="23" t="n"/>
      <c r="C100" s="24" t="n"/>
      <c r="D100" s="22" t="n"/>
      <c r="E100" s="24">
        <f>IF(D100="","",VLOOKUP(D100,$N$1:$O$50,2,FALSE))</f>
        <v/>
      </c>
      <c r="F100" s="22" t="n"/>
      <c r="G100" s="25" t="n"/>
      <c r="H100" s="24" t="n"/>
      <c r="I100" s="24">
        <f>IF(OR(C100="",H100=""),"",C100-H100)</f>
        <v/>
      </c>
      <c r="J100" s="26">
        <f>IF(OR(B100="",H100=""),"",B100-IFERROR(INDEX(B$4:B$153,MATCH(1,(D$4:D$153=D100)*(C$4:C$153=H100),0)),B100))</f>
        <v/>
      </c>
      <c r="K100" s="24">
        <f>IF(OR(C100="",E100=""),"",C100+E100)</f>
        <v/>
      </c>
      <c r="L100" s="22" t="n"/>
    </row>
    <row r="101" ht="22" customHeight="1">
      <c r="A101" s="27" t="n">
        <v>98</v>
      </c>
      <c r="B101" s="28" t="n"/>
      <c r="C101" s="29" t="n"/>
      <c r="D101" s="27" t="n"/>
      <c r="E101" s="29">
        <f>IF(D101="","",VLOOKUP(D101,$N$1:$O$50,2,FALSE))</f>
        <v/>
      </c>
      <c r="F101" s="27" t="n"/>
      <c r="G101" s="30" t="n"/>
      <c r="H101" s="29" t="n"/>
      <c r="I101" s="29">
        <f>IF(OR(C101="",H101=""),"",C101-H101)</f>
        <v/>
      </c>
      <c r="J101" s="31">
        <f>IF(OR(B101="",H101=""),"",B101-IFERROR(INDEX(B$4:B$153,MATCH(1,(D$4:D$153=D101)*(C$4:C$153=H101),0)),B101))</f>
        <v/>
      </c>
      <c r="K101" s="29">
        <f>IF(OR(C101="",E101=""),"",C101+E101)</f>
        <v/>
      </c>
      <c r="L101" s="27" t="n"/>
    </row>
    <row r="102" ht="22" customHeight="1">
      <c r="A102" s="22" t="n">
        <v>99</v>
      </c>
      <c r="B102" s="23" t="n"/>
      <c r="C102" s="24" t="n"/>
      <c r="D102" s="22" t="n"/>
      <c r="E102" s="24">
        <f>IF(D102="","",VLOOKUP(D102,$N$1:$O$50,2,FALSE))</f>
        <v/>
      </c>
      <c r="F102" s="22" t="n"/>
      <c r="G102" s="25" t="n"/>
      <c r="H102" s="24" t="n"/>
      <c r="I102" s="24">
        <f>IF(OR(C102="",H102=""),"",C102-H102)</f>
        <v/>
      </c>
      <c r="J102" s="26">
        <f>IF(OR(B102="",H102=""),"",B102-IFERROR(INDEX(B$4:B$153,MATCH(1,(D$4:D$153=D102)*(C$4:C$153=H102),0)),B102))</f>
        <v/>
      </c>
      <c r="K102" s="24">
        <f>IF(OR(C102="",E102=""),"",C102+E102)</f>
        <v/>
      </c>
      <c r="L102" s="22" t="n"/>
    </row>
    <row r="103" ht="22" customHeight="1">
      <c r="A103" s="27" t="n">
        <v>100</v>
      </c>
      <c r="B103" s="28" t="n"/>
      <c r="C103" s="29" t="n"/>
      <c r="D103" s="27" t="n"/>
      <c r="E103" s="29">
        <f>IF(D103="","",VLOOKUP(D103,$N$1:$O$50,2,FALSE))</f>
        <v/>
      </c>
      <c r="F103" s="27" t="n"/>
      <c r="G103" s="30" t="n"/>
      <c r="H103" s="29" t="n"/>
      <c r="I103" s="29">
        <f>IF(OR(C103="",H103=""),"",C103-H103)</f>
        <v/>
      </c>
      <c r="J103" s="31">
        <f>IF(OR(B103="",H103=""),"",B103-IFERROR(INDEX(B$4:B$153,MATCH(1,(D$4:D$153=D103)*(C$4:C$153=H103),0)),B103))</f>
        <v/>
      </c>
      <c r="K103" s="29">
        <f>IF(OR(C103="",E103=""),"",C103+E103)</f>
        <v/>
      </c>
      <c r="L103" s="27" t="n"/>
    </row>
    <row r="104" ht="22" customHeight="1">
      <c r="A104" s="22" t="n">
        <v>101</v>
      </c>
      <c r="B104" s="23" t="n"/>
      <c r="C104" s="24" t="n"/>
      <c r="D104" s="22" t="n"/>
      <c r="E104" s="24">
        <f>IF(D104="","",VLOOKUP(D104,$N$1:$O$50,2,FALSE))</f>
        <v/>
      </c>
      <c r="F104" s="22" t="n"/>
      <c r="G104" s="25" t="n"/>
      <c r="H104" s="24" t="n"/>
      <c r="I104" s="24">
        <f>IF(OR(C104="",H104=""),"",C104-H104)</f>
        <v/>
      </c>
      <c r="J104" s="26">
        <f>IF(OR(B104="",H104=""),"",B104-IFERROR(INDEX(B$4:B$153,MATCH(1,(D$4:D$153=D104)*(C$4:C$153=H104),0)),B104))</f>
        <v/>
      </c>
      <c r="K104" s="24">
        <f>IF(OR(C104="",E104=""),"",C104+E104)</f>
        <v/>
      </c>
      <c r="L104" s="22" t="n"/>
    </row>
    <row r="105" ht="22" customHeight="1">
      <c r="A105" s="27" t="n">
        <v>102</v>
      </c>
      <c r="B105" s="28" t="n"/>
      <c r="C105" s="29" t="n"/>
      <c r="D105" s="27" t="n"/>
      <c r="E105" s="29">
        <f>IF(D105="","",VLOOKUP(D105,$N$1:$O$50,2,FALSE))</f>
        <v/>
      </c>
      <c r="F105" s="27" t="n"/>
      <c r="G105" s="30" t="n"/>
      <c r="H105" s="29" t="n"/>
      <c r="I105" s="29">
        <f>IF(OR(C105="",H105=""),"",C105-H105)</f>
        <v/>
      </c>
      <c r="J105" s="31">
        <f>IF(OR(B105="",H105=""),"",B105-IFERROR(INDEX(B$4:B$153,MATCH(1,(D$4:D$153=D105)*(C$4:C$153=H105),0)),B105))</f>
        <v/>
      </c>
      <c r="K105" s="29">
        <f>IF(OR(C105="",E105=""),"",C105+E105)</f>
        <v/>
      </c>
      <c r="L105" s="27" t="n"/>
    </row>
    <row r="106" ht="22" customHeight="1">
      <c r="A106" s="22" t="n">
        <v>103</v>
      </c>
      <c r="B106" s="23" t="n"/>
      <c r="C106" s="24" t="n"/>
      <c r="D106" s="22" t="n"/>
      <c r="E106" s="24">
        <f>IF(D106="","",VLOOKUP(D106,$N$1:$O$50,2,FALSE))</f>
        <v/>
      </c>
      <c r="F106" s="22" t="n"/>
      <c r="G106" s="25" t="n"/>
      <c r="H106" s="24" t="n"/>
      <c r="I106" s="24">
        <f>IF(OR(C106="",H106=""),"",C106-H106)</f>
        <v/>
      </c>
      <c r="J106" s="26">
        <f>IF(OR(B106="",H106=""),"",B106-IFERROR(INDEX(B$4:B$153,MATCH(1,(D$4:D$153=D106)*(C$4:C$153=H106),0)),B106))</f>
        <v/>
      </c>
      <c r="K106" s="24">
        <f>IF(OR(C106="",E106=""),"",C106+E106)</f>
        <v/>
      </c>
      <c r="L106" s="22" t="n"/>
    </row>
    <row r="107" ht="22" customHeight="1">
      <c r="A107" s="27" t="n">
        <v>104</v>
      </c>
      <c r="B107" s="28" t="n"/>
      <c r="C107" s="29" t="n"/>
      <c r="D107" s="27" t="n"/>
      <c r="E107" s="29">
        <f>IF(D107="","",VLOOKUP(D107,$N$1:$O$50,2,FALSE))</f>
        <v/>
      </c>
      <c r="F107" s="27" t="n"/>
      <c r="G107" s="30" t="n"/>
      <c r="H107" s="29" t="n"/>
      <c r="I107" s="29">
        <f>IF(OR(C107="",H107=""),"",C107-H107)</f>
        <v/>
      </c>
      <c r="J107" s="31">
        <f>IF(OR(B107="",H107=""),"",B107-IFERROR(INDEX(B$4:B$153,MATCH(1,(D$4:D$153=D107)*(C$4:C$153=H107),0)),B107))</f>
        <v/>
      </c>
      <c r="K107" s="29">
        <f>IF(OR(C107="",E107=""),"",C107+E107)</f>
        <v/>
      </c>
      <c r="L107" s="27" t="n"/>
    </row>
    <row r="108" ht="22" customHeight="1">
      <c r="A108" s="22" t="n">
        <v>105</v>
      </c>
      <c r="B108" s="23" t="n"/>
      <c r="C108" s="24" t="n"/>
      <c r="D108" s="22" t="n"/>
      <c r="E108" s="24">
        <f>IF(D108="","",VLOOKUP(D108,$N$1:$O$50,2,FALSE))</f>
        <v/>
      </c>
      <c r="F108" s="22" t="n"/>
      <c r="G108" s="25" t="n"/>
      <c r="H108" s="24" t="n"/>
      <c r="I108" s="24">
        <f>IF(OR(C108="",H108=""),"",C108-H108)</f>
        <v/>
      </c>
      <c r="J108" s="26">
        <f>IF(OR(B108="",H108=""),"",B108-IFERROR(INDEX(B$4:B$153,MATCH(1,(D$4:D$153=D108)*(C$4:C$153=H108),0)),B108))</f>
        <v/>
      </c>
      <c r="K108" s="24">
        <f>IF(OR(C108="",E108=""),"",C108+E108)</f>
        <v/>
      </c>
      <c r="L108" s="22" t="n"/>
    </row>
    <row r="109" ht="22" customHeight="1">
      <c r="A109" s="27" t="n">
        <v>106</v>
      </c>
      <c r="B109" s="28" t="n"/>
      <c r="C109" s="29" t="n"/>
      <c r="D109" s="27" t="n"/>
      <c r="E109" s="29">
        <f>IF(D109="","",VLOOKUP(D109,$N$1:$O$50,2,FALSE))</f>
        <v/>
      </c>
      <c r="F109" s="27" t="n"/>
      <c r="G109" s="30" t="n"/>
      <c r="H109" s="29" t="n"/>
      <c r="I109" s="29">
        <f>IF(OR(C109="",H109=""),"",C109-H109)</f>
        <v/>
      </c>
      <c r="J109" s="31">
        <f>IF(OR(B109="",H109=""),"",B109-IFERROR(INDEX(B$4:B$153,MATCH(1,(D$4:D$153=D109)*(C$4:C$153=H109),0)),B109))</f>
        <v/>
      </c>
      <c r="K109" s="29">
        <f>IF(OR(C109="",E109=""),"",C109+E109)</f>
        <v/>
      </c>
      <c r="L109" s="27" t="n"/>
    </row>
    <row r="110" ht="22" customHeight="1">
      <c r="A110" s="22" t="n">
        <v>107</v>
      </c>
      <c r="B110" s="23" t="n"/>
      <c r="C110" s="24" t="n"/>
      <c r="D110" s="22" t="n"/>
      <c r="E110" s="24">
        <f>IF(D110="","",VLOOKUP(D110,$N$1:$O$50,2,FALSE))</f>
        <v/>
      </c>
      <c r="F110" s="22" t="n"/>
      <c r="G110" s="25" t="n"/>
      <c r="H110" s="24" t="n"/>
      <c r="I110" s="24">
        <f>IF(OR(C110="",H110=""),"",C110-H110)</f>
        <v/>
      </c>
      <c r="J110" s="26">
        <f>IF(OR(B110="",H110=""),"",B110-IFERROR(INDEX(B$4:B$153,MATCH(1,(D$4:D$153=D110)*(C$4:C$153=H110),0)),B110))</f>
        <v/>
      </c>
      <c r="K110" s="24">
        <f>IF(OR(C110="",E110=""),"",C110+E110)</f>
        <v/>
      </c>
      <c r="L110" s="22" t="n"/>
    </row>
    <row r="111" ht="22" customHeight="1">
      <c r="A111" s="27" t="n">
        <v>108</v>
      </c>
      <c r="B111" s="28" t="n"/>
      <c r="C111" s="29" t="n"/>
      <c r="D111" s="27" t="n"/>
      <c r="E111" s="29">
        <f>IF(D111="","",VLOOKUP(D111,$N$1:$O$50,2,FALSE))</f>
        <v/>
      </c>
      <c r="F111" s="27" t="n"/>
      <c r="G111" s="30" t="n"/>
      <c r="H111" s="29" t="n"/>
      <c r="I111" s="29">
        <f>IF(OR(C111="",H111=""),"",C111-H111)</f>
        <v/>
      </c>
      <c r="J111" s="31">
        <f>IF(OR(B111="",H111=""),"",B111-IFERROR(INDEX(B$4:B$153,MATCH(1,(D$4:D$153=D111)*(C$4:C$153=H111),0)),B111))</f>
        <v/>
      </c>
      <c r="K111" s="29">
        <f>IF(OR(C111="",E111=""),"",C111+E111)</f>
        <v/>
      </c>
      <c r="L111" s="27" t="n"/>
    </row>
    <row r="112" ht="22" customHeight="1">
      <c r="A112" s="22" t="n">
        <v>109</v>
      </c>
      <c r="B112" s="23" t="n"/>
      <c r="C112" s="24" t="n"/>
      <c r="D112" s="22" t="n"/>
      <c r="E112" s="24">
        <f>IF(D112="","",VLOOKUP(D112,$N$1:$O$50,2,FALSE))</f>
        <v/>
      </c>
      <c r="F112" s="22" t="n"/>
      <c r="G112" s="25" t="n"/>
      <c r="H112" s="24" t="n"/>
      <c r="I112" s="24">
        <f>IF(OR(C112="",H112=""),"",C112-H112)</f>
        <v/>
      </c>
      <c r="J112" s="26">
        <f>IF(OR(B112="",H112=""),"",B112-IFERROR(INDEX(B$4:B$153,MATCH(1,(D$4:D$153=D112)*(C$4:C$153=H112),0)),B112))</f>
        <v/>
      </c>
      <c r="K112" s="24">
        <f>IF(OR(C112="",E112=""),"",C112+E112)</f>
        <v/>
      </c>
      <c r="L112" s="22" t="n"/>
    </row>
    <row r="113" ht="22" customHeight="1">
      <c r="A113" s="27" t="n">
        <v>110</v>
      </c>
      <c r="B113" s="28" t="n"/>
      <c r="C113" s="29" t="n"/>
      <c r="D113" s="27" t="n"/>
      <c r="E113" s="29">
        <f>IF(D113="","",VLOOKUP(D113,$N$1:$O$50,2,FALSE))</f>
        <v/>
      </c>
      <c r="F113" s="27" t="n"/>
      <c r="G113" s="30" t="n"/>
      <c r="H113" s="29" t="n"/>
      <c r="I113" s="29">
        <f>IF(OR(C113="",H113=""),"",C113-H113)</f>
        <v/>
      </c>
      <c r="J113" s="31">
        <f>IF(OR(B113="",H113=""),"",B113-IFERROR(INDEX(B$4:B$153,MATCH(1,(D$4:D$153=D113)*(C$4:C$153=H113),0)),B113))</f>
        <v/>
      </c>
      <c r="K113" s="29">
        <f>IF(OR(C113="",E113=""),"",C113+E113)</f>
        <v/>
      </c>
      <c r="L113" s="27" t="n"/>
    </row>
    <row r="114" ht="22" customHeight="1">
      <c r="A114" s="22" t="n">
        <v>111</v>
      </c>
      <c r="B114" s="23" t="n"/>
      <c r="C114" s="24" t="n"/>
      <c r="D114" s="22" t="n"/>
      <c r="E114" s="24">
        <f>IF(D114="","",VLOOKUP(D114,$N$1:$O$50,2,FALSE))</f>
        <v/>
      </c>
      <c r="F114" s="22" t="n"/>
      <c r="G114" s="25" t="n"/>
      <c r="H114" s="24" t="n"/>
      <c r="I114" s="24">
        <f>IF(OR(C114="",H114=""),"",C114-H114)</f>
        <v/>
      </c>
      <c r="J114" s="26">
        <f>IF(OR(B114="",H114=""),"",B114-IFERROR(INDEX(B$4:B$153,MATCH(1,(D$4:D$153=D114)*(C$4:C$153=H114),0)),B114))</f>
        <v/>
      </c>
      <c r="K114" s="24">
        <f>IF(OR(C114="",E114=""),"",C114+E114)</f>
        <v/>
      </c>
      <c r="L114" s="22" t="n"/>
    </row>
    <row r="115" ht="22" customHeight="1">
      <c r="A115" s="27" t="n">
        <v>112</v>
      </c>
      <c r="B115" s="28" t="n"/>
      <c r="C115" s="29" t="n"/>
      <c r="D115" s="27" t="n"/>
      <c r="E115" s="29">
        <f>IF(D115="","",VLOOKUP(D115,$N$1:$O$50,2,FALSE))</f>
        <v/>
      </c>
      <c r="F115" s="27" t="n"/>
      <c r="G115" s="30" t="n"/>
      <c r="H115" s="29" t="n"/>
      <c r="I115" s="29">
        <f>IF(OR(C115="",H115=""),"",C115-H115)</f>
        <v/>
      </c>
      <c r="J115" s="31">
        <f>IF(OR(B115="",H115=""),"",B115-IFERROR(INDEX(B$4:B$153,MATCH(1,(D$4:D$153=D115)*(C$4:C$153=H115),0)),B115))</f>
        <v/>
      </c>
      <c r="K115" s="29">
        <f>IF(OR(C115="",E115=""),"",C115+E115)</f>
        <v/>
      </c>
      <c r="L115" s="27" t="n"/>
    </row>
    <row r="116" ht="22" customHeight="1">
      <c r="A116" s="22" t="n">
        <v>113</v>
      </c>
      <c r="B116" s="23" t="n"/>
      <c r="C116" s="24" t="n"/>
      <c r="D116" s="22" t="n"/>
      <c r="E116" s="24">
        <f>IF(D116="","",VLOOKUP(D116,$N$1:$O$50,2,FALSE))</f>
        <v/>
      </c>
      <c r="F116" s="22" t="n"/>
      <c r="G116" s="25" t="n"/>
      <c r="H116" s="24" t="n"/>
      <c r="I116" s="24">
        <f>IF(OR(C116="",H116=""),"",C116-H116)</f>
        <v/>
      </c>
      <c r="J116" s="26">
        <f>IF(OR(B116="",H116=""),"",B116-IFERROR(INDEX(B$4:B$153,MATCH(1,(D$4:D$153=D116)*(C$4:C$153=H116),0)),B116))</f>
        <v/>
      </c>
      <c r="K116" s="24">
        <f>IF(OR(C116="",E116=""),"",C116+E116)</f>
        <v/>
      </c>
      <c r="L116" s="22" t="n"/>
    </row>
    <row r="117" ht="22" customHeight="1">
      <c r="A117" s="27" t="n">
        <v>114</v>
      </c>
      <c r="B117" s="28" t="n"/>
      <c r="C117" s="29" t="n"/>
      <c r="D117" s="27" t="n"/>
      <c r="E117" s="29">
        <f>IF(D117="","",VLOOKUP(D117,$N$1:$O$50,2,FALSE))</f>
        <v/>
      </c>
      <c r="F117" s="27" t="n"/>
      <c r="G117" s="30" t="n"/>
      <c r="H117" s="29" t="n"/>
      <c r="I117" s="29">
        <f>IF(OR(C117="",H117=""),"",C117-H117)</f>
        <v/>
      </c>
      <c r="J117" s="31">
        <f>IF(OR(B117="",H117=""),"",B117-IFERROR(INDEX(B$4:B$153,MATCH(1,(D$4:D$153=D117)*(C$4:C$153=H117),0)),B117))</f>
        <v/>
      </c>
      <c r="K117" s="29">
        <f>IF(OR(C117="",E117=""),"",C117+E117)</f>
        <v/>
      </c>
      <c r="L117" s="27" t="n"/>
    </row>
    <row r="118" ht="22" customHeight="1">
      <c r="A118" s="22" t="n">
        <v>115</v>
      </c>
      <c r="B118" s="23" t="n"/>
      <c r="C118" s="24" t="n"/>
      <c r="D118" s="22" t="n"/>
      <c r="E118" s="24">
        <f>IF(D118="","",VLOOKUP(D118,$N$1:$O$50,2,FALSE))</f>
        <v/>
      </c>
      <c r="F118" s="22" t="n"/>
      <c r="G118" s="25" t="n"/>
      <c r="H118" s="24" t="n"/>
      <c r="I118" s="24">
        <f>IF(OR(C118="",H118=""),"",C118-H118)</f>
        <v/>
      </c>
      <c r="J118" s="26">
        <f>IF(OR(B118="",H118=""),"",B118-IFERROR(INDEX(B$4:B$153,MATCH(1,(D$4:D$153=D118)*(C$4:C$153=H118),0)),B118))</f>
        <v/>
      </c>
      <c r="K118" s="24">
        <f>IF(OR(C118="",E118=""),"",C118+E118)</f>
        <v/>
      </c>
      <c r="L118" s="22" t="n"/>
    </row>
    <row r="119" ht="22" customHeight="1">
      <c r="A119" s="27" t="n">
        <v>116</v>
      </c>
      <c r="B119" s="28" t="n"/>
      <c r="C119" s="29" t="n"/>
      <c r="D119" s="27" t="n"/>
      <c r="E119" s="29">
        <f>IF(D119="","",VLOOKUP(D119,$N$1:$O$50,2,FALSE))</f>
        <v/>
      </c>
      <c r="F119" s="27" t="n"/>
      <c r="G119" s="30" t="n"/>
      <c r="H119" s="29" t="n"/>
      <c r="I119" s="29">
        <f>IF(OR(C119="",H119=""),"",C119-H119)</f>
        <v/>
      </c>
      <c r="J119" s="31">
        <f>IF(OR(B119="",H119=""),"",B119-IFERROR(INDEX(B$4:B$153,MATCH(1,(D$4:D$153=D119)*(C$4:C$153=H119),0)),B119))</f>
        <v/>
      </c>
      <c r="K119" s="29">
        <f>IF(OR(C119="",E119=""),"",C119+E119)</f>
        <v/>
      </c>
      <c r="L119" s="27" t="n"/>
    </row>
    <row r="120" ht="22" customHeight="1">
      <c r="A120" s="22" t="n">
        <v>117</v>
      </c>
      <c r="B120" s="23" t="n"/>
      <c r="C120" s="24" t="n"/>
      <c r="D120" s="22" t="n"/>
      <c r="E120" s="24">
        <f>IF(D120="","",VLOOKUP(D120,$N$1:$O$50,2,FALSE))</f>
        <v/>
      </c>
      <c r="F120" s="22" t="n"/>
      <c r="G120" s="25" t="n"/>
      <c r="H120" s="24" t="n"/>
      <c r="I120" s="24">
        <f>IF(OR(C120="",H120=""),"",C120-H120)</f>
        <v/>
      </c>
      <c r="J120" s="26">
        <f>IF(OR(B120="",H120=""),"",B120-IFERROR(INDEX(B$4:B$153,MATCH(1,(D$4:D$153=D120)*(C$4:C$153=H120),0)),B120))</f>
        <v/>
      </c>
      <c r="K120" s="24">
        <f>IF(OR(C120="",E120=""),"",C120+E120)</f>
        <v/>
      </c>
      <c r="L120" s="22" t="n"/>
    </row>
    <row r="121" ht="22" customHeight="1">
      <c r="A121" s="27" t="n">
        <v>118</v>
      </c>
      <c r="B121" s="28" t="n"/>
      <c r="C121" s="29" t="n"/>
      <c r="D121" s="27" t="n"/>
      <c r="E121" s="29">
        <f>IF(D121="","",VLOOKUP(D121,$N$1:$O$50,2,FALSE))</f>
        <v/>
      </c>
      <c r="F121" s="27" t="n"/>
      <c r="G121" s="30" t="n"/>
      <c r="H121" s="29" t="n"/>
      <c r="I121" s="29">
        <f>IF(OR(C121="",H121=""),"",C121-H121)</f>
        <v/>
      </c>
      <c r="J121" s="31">
        <f>IF(OR(B121="",H121=""),"",B121-IFERROR(INDEX(B$4:B$153,MATCH(1,(D$4:D$153=D121)*(C$4:C$153=H121),0)),B121))</f>
        <v/>
      </c>
      <c r="K121" s="29">
        <f>IF(OR(C121="",E121=""),"",C121+E121)</f>
        <v/>
      </c>
      <c r="L121" s="27" t="n"/>
    </row>
    <row r="122" ht="22" customHeight="1">
      <c r="A122" s="22" t="n">
        <v>119</v>
      </c>
      <c r="B122" s="23" t="n"/>
      <c r="C122" s="24" t="n"/>
      <c r="D122" s="22" t="n"/>
      <c r="E122" s="24">
        <f>IF(D122="","",VLOOKUP(D122,$N$1:$O$50,2,FALSE))</f>
        <v/>
      </c>
      <c r="F122" s="22" t="n"/>
      <c r="G122" s="25" t="n"/>
      <c r="H122" s="24" t="n"/>
      <c r="I122" s="24">
        <f>IF(OR(C122="",H122=""),"",C122-H122)</f>
        <v/>
      </c>
      <c r="J122" s="26">
        <f>IF(OR(B122="",H122=""),"",B122-IFERROR(INDEX(B$4:B$153,MATCH(1,(D$4:D$153=D122)*(C$4:C$153=H122),0)),B122))</f>
        <v/>
      </c>
      <c r="K122" s="24">
        <f>IF(OR(C122="",E122=""),"",C122+E122)</f>
        <v/>
      </c>
      <c r="L122" s="22" t="n"/>
    </row>
    <row r="123" ht="22" customHeight="1">
      <c r="A123" s="27" t="n">
        <v>120</v>
      </c>
      <c r="B123" s="28" t="n"/>
      <c r="C123" s="29" t="n"/>
      <c r="D123" s="27" t="n"/>
      <c r="E123" s="29">
        <f>IF(D123="","",VLOOKUP(D123,$N$1:$O$50,2,FALSE))</f>
        <v/>
      </c>
      <c r="F123" s="27" t="n"/>
      <c r="G123" s="30" t="n"/>
      <c r="H123" s="29" t="n"/>
      <c r="I123" s="29">
        <f>IF(OR(C123="",H123=""),"",C123-H123)</f>
        <v/>
      </c>
      <c r="J123" s="31">
        <f>IF(OR(B123="",H123=""),"",B123-IFERROR(INDEX(B$4:B$153,MATCH(1,(D$4:D$153=D123)*(C$4:C$153=H123),0)),B123))</f>
        <v/>
      </c>
      <c r="K123" s="29">
        <f>IF(OR(C123="",E123=""),"",C123+E123)</f>
        <v/>
      </c>
      <c r="L123" s="27" t="n"/>
    </row>
    <row r="124" ht="22" customHeight="1">
      <c r="A124" s="22" t="n">
        <v>121</v>
      </c>
      <c r="B124" s="23" t="n"/>
      <c r="C124" s="24" t="n"/>
      <c r="D124" s="22" t="n"/>
      <c r="E124" s="24">
        <f>IF(D124="","",VLOOKUP(D124,$N$1:$O$50,2,FALSE))</f>
        <v/>
      </c>
      <c r="F124" s="22" t="n"/>
      <c r="G124" s="25" t="n"/>
      <c r="H124" s="24" t="n"/>
      <c r="I124" s="24">
        <f>IF(OR(C124="",H124=""),"",C124-H124)</f>
        <v/>
      </c>
      <c r="J124" s="26">
        <f>IF(OR(B124="",H124=""),"",B124-IFERROR(INDEX(B$4:B$153,MATCH(1,(D$4:D$153=D124)*(C$4:C$153=H124),0)),B124))</f>
        <v/>
      </c>
      <c r="K124" s="24">
        <f>IF(OR(C124="",E124=""),"",C124+E124)</f>
        <v/>
      </c>
      <c r="L124" s="22" t="n"/>
    </row>
    <row r="125" ht="22" customHeight="1">
      <c r="A125" s="27" t="n">
        <v>122</v>
      </c>
      <c r="B125" s="28" t="n"/>
      <c r="C125" s="29" t="n"/>
      <c r="D125" s="27" t="n"/>
      <c r="E125" s="29">
        <f>IF(D125="","",VLOOKUP(D125,$N$1:$O$50,2,FALSE))</f>
        <v/>
      </c>
      <c r="F125" s="27" t="n"/>
      <c r="G125" s="30" t="n"/>
      <c r="H125" s="29" t="n"/>
      <c r="I125" s="29">
        <f>IF(OR(C125="",H125=""),"",C125-H125)</f>
        <v/>
      </c>
      <c r="J125" s="31">
        <f>IF(OR(B125="",H125=""),"",B125-IFERROR(INDEX(B$4:B$153,MATCH(1,(D$4:D$153=D125)*(C$4:C$153=H125),0)),B125))</f>
        <v/>
      </c>
      <c r="K125" s="29">
        <f>IF(OR(C125="",E125=""),"",C125+E125)</f>
        <v/>
      </c>
      <c r="L125" s="27" t="n"/>
    </row>
    <row r="126" ht="22" customHeight="1">
      <c r="A126" s="22" t="n">
        <v>123</v>
      </c>
      <c r="B126" s="23" t="n"/>
      <c r="C126" s="24" t="n"/>
      <c r="D126" s="22" t="n"/>
      <c r="E126" s="24">
        <f>IF(D126="","",VLOOKUP(D126,$N$1:$O$50,2,FALSE))</f>
        <v/>
      </c>
      <c r="F126" s="22" t="n"/>
      <c r="G126" s="25" t="n"/>
      <c r="H126" s="24" t="n"/>
      <c r="I126" s="24">
        <f>IF(OR(C126="",H126=""),"",C126-H126)</f>
        <v/>
      </c>
      <c r="J126" s="26">
        <f>IF(OR(B126="",H126=""),"",B126-IFERROR(INDEX(B$4:B$153,MATCH(1,(D$4:D$153=D126)*(C$4:C$153=H126),0)),B126))</f>
        <v/>
      </c>
      <c r="K126" s="24">
        <f>IF(OR(C126="",E126=""),"",C126+E126)</f>
        <v/>
      </c>
      <c r="L126" s="22" t="n"/>
    </row>
    <row r="127" ht="22" customHeight="1">
      <c r="A127" s="27" t="n">
        <v>124</v>
      </c>
      <c r="B127" s="28" t="n"/>
      <c r="C127" s="29" t="n"/>
      <c r="D127" s="27" t="n"/>
      <c r="E127" s="29">
        <f>IF(D127="","",VLOOKUP(D127,$N$1:$O$50,2,FALSE))</f>
        <v/>
      </c>
      <c r="F127" s="27" t="n"/>
      <c r="G127" s="30" t="n"/>
      <c r="H127" s="29" t="n"/>
      <c r="I127" s="29">
        <f>IF(OR(C127="",H127=""),"",C127-H127)</f>
        <v/>
      </c>
      <c r="J127" s="31">
        <f>IF(OR(B127="",H127=""),"",B127-IFERROR(INDEX(B$4:B$153,MATCH(1,(D$4:D$153=D127)*(C$4:C$153=H127),0)),B127))</f>
        <v/>
      </c>
      <c r="K127" s="29">
        <f>IF(OR(C127="",E127=""),"",C127+E127)</f>
        <v/>
      </c>
      <c r="L127" s="27" t="n"/>
    </row>
    <row r="128" ht="22" customHeight="1">
      <c r="A128" s="22" t="n">
        <v>125</v>
      </c>
      <c r="B128" s="23" t="n"/>
      <c r="C128" s="24" t="n"/>
      <c r="D128" s="22" t="n"/>
      <c r="E128" s="24">
        <f>IF(D128="","",VLOOKUP(D128,$N$1:$O$50,2,FALSE))</f>
        <v/>
      </c>
      <c r="F128" s="22" t="n"/>
      <c r="G128" s="25" t="n"/>
      <c r="H128" s="24" t="n"/>
      <c r="I128" s="24">
        <f>IF(OR(C128="",H128=""),"",C128-H128)</f>
        <v/>
      </c>
      <c r="J128" s="26">
        <f>IF(OR(B128="",H128=""),"",B128-IFERROR(INDEX(B$4:B$153,MATCH(1,(D$4:D$153=D128)*(C$4:C$153=H128),0)),B128))</f>
        <v/>
      </c>
      <c r="K128" s="24">
        <f>IF(OR(C128="",E128=""),"",C128+E128)</f>
        <v/>
      </c>
      <c r="L128" s="22" t="n"/>
    </row>
    <row r="129" ht="22" customHeight="1">
      <c r="A129" s="27" t="n">
        <v>126</v>
      </c>
      <c r="B129" s="28" t="n"/>
      <c r="C129" s="29" t="n"/>
      <c r="D129" s="27" t="n"/>
      <c r="E129" s="29">
        <f>IF(D129="","",VLOOKUP(D129,$N$1:$O$50,2,FALSE))</f>
        <v/>
      </c>
      <c r="F129" s="27" t="n"/>
      <c r="G129" s="30" t="n"/>
      <c r="H129" s="29" t="n"/>
      <c r="I129" s="29">
        <f>IF(OR(C129="",H129=""),"",C129-H129)</f>
        <v/>
      </c>
      <c r="J129" s="31">
        <f>IF(OR(B129="",H129=""),"",B129-IFERROR(INDEX(B$4:B$153,MATCH(1,(D$4:D$153=D129)*(C$4:C$153=H129),0)),B129))</f>
        <v/>
      </c>
      <c r="K129" s="29">
        <f>IF(OR(C129="",E129=""),"",C129+E129)</f>
        <v/>
      </c>
      <c r="L129" s="27" t="n"/>
    </row>
    <row r="130" ht="22" customHeight="1">
      <c r="A130" s="22" t="n">
        <v>127</v>
      </c>
      <c r="B130" s="23" t="n"/>
      <c r="C130" s="24" t="n"/>
      <c r="D130" s="22" t="n"/>
      <c r="E130" s="24">
        <f>IF(D130="","",VLOOKUP(D130,$N$1:$O$50,2,FALSE))</f>
        <v/>
      </c>
      <c r="F130" s="22" t="n"/>
      <c r="G130" s="25" t="n"/>
      <c r="H130" s="24" t="n"/>
      <c r="I130" s="24">
        <f>IF(OR(C130="",H130=""),"",C130-H130)</f>
        <v/>
      </c>
      <c r="J130" s="26">
        <f>IF(OR(B130="",H130=""),"",B130-IFERROR(INDEX(B$4:B$153,MATCH(1,(D$4:D$153=D130)*(C$4:C$153=H130),0)),B130))</f>
        <v/>
      </c>
      <c r="K130" s="24">
        <f>IF(OR(C130="",E130=""),"",C130+E130)</f>
        <v/>
      </c>
      <c r="L130" s="22" t="n"/>
    </row>
    <row r="131" ht="22" customHeight="1">
      <c r="A131" s="27" t="n">
        <v>128</v>
      </c>
      <c r="B131" s="28" t="n"/>
      <c r="C131" s="29" t="n"/>
      <c r="D131" s="27" t="n"/>
      <c r="E131" s="29">
        <f>IF(D131="","",VLOOKUP(D131,$N$1:$O$50,2,FALSE))</f>
        <v/>
      </c>
      <c r="F131" s="27" t="n"/>
      <c r="G131" s="30" t="n"/>
      <c r="H131" s="29" t="n"/>
      <c r="I131" s="29">
        <f>IF(OR(C131="",H131=""),"",C131-H131)</f>
        <v/>
      </c>
      <c r="J131" s="31">
        <f>IF(OR(B131="",H131=""),"",B131-IFERROR(INDEX(B$4:B$153,MATCH(1,(D$4:D$153=D131)*(C$4:C$153=H131),0)),B131))</f>
        <v/>
      </c>
      <c r="K131" s="29">
        <f>IF(OR(C131="",E131=""),"",C131+E131)</f>
        <v/>
      </c>
      <c r="L131" s="27" t="n"/>
    </row>
    <row r="132" ht="22" customHeight="1">
      <c r="A132" s="22" t="n">
        <v>129</v>
      </c>
      <c r="B132" s="23" t="n"/>
      <c r="C132" s="24" t="n"/>
      <c r="D132" s="22" t="n"/>
      <c r="E132" s="24">
        <f>IF(D132="","",VLOOKUP(D132,$N$1:$O$50,2,FALSE))</f>
        <v/>
      </c>
      <c r="F132" s="22" t="n"/>
      <c r="G132" s="25" t="n"/>
      <c r="H132" s="24" t="n"/>
      <c r="I132" s="24">
        <f>IF(OR(C132="",H132=""),"",C132-H132)</f>
        <v/>
      </c>
      <c r="J132" s="26">
        <f>IF(OR(B132="",H132=""),"",B132-IFERROR(INDEX(B$4:B$153,MATCH(1,(D$4:D$153=D132)*(C$4:C$153=H132),0)),B132))</f>
        <v/>
      </c>
      <c r="K132" s="24">
        <f>IF(OR(C132="",E132=""),"",C132+E132)</f>
        <v/>
      </c>
      <c r="L132" s="22" t="n"/>
    </row>
    <row r="133" ht="22" customHeight="1">
      <c r="A133" s="27" t="n">
        <v>130</v>
      </c>
      <c r="B133" s="28" t="n"/>
      <c r="C133" s="29" t="n"/>
      <c r="D133" s="27" t="n"/>
      <c r="E133" s="29">
        <f>IF(D133="","",VLOOKUP(D133,$N$1:$O$50,2,FALSE))</f>
        <v/>
      </c>
      <c r="F133" s="27" t="n"/>
      <c r="G133" s="30" t="n"/>
      <c r="H133" s="29" t="n"/>
      <c r="I133" s="29">
        <f>IF(OR(C133="",H133=""),"",C133-H133)</f>
        <v/>
      </c>
      <c r="J133" s="31">
        <f>IF(OR(B133="",H133=""),"",B133-IFERROR(INDEX(B$4:B$153,MATCH(1,(D$4:D$153=D133)*(C$4:C$153=H133),0)),B133))</f>
        <v/>
      </c>
      <c r="K133" s="29">
        <f>IF(OR(C133="",E133=""),"",C133+E133)</f>
        <v/>
      </c>
      <c r="L133" s="27" t="n"/>
    </row>
    <row r="134" ht="22" customHeight="1">
      <c r="A134" s="22" t="n">
        <v>131</v>
      </c>
      <c r="B134" s="23" t="n"/>
      <c r="C134" s="24" t="n"/>
      <c r="D134" s="22" t="n"/>
      <c r="E134" s="24">
        <f>IF(D134="","",VLOOKUP(D134,$N$1:$O$50,2,FALSE))</f>
        <v/>
      </c>
      <c r="F134" s="22" t="n"/>
      <c r="G134" s="25" t="n"/>
      <c r="H134" s="24" t="n"/>
      <c r="I134" s="24">
        <f>IF(OR(C134="",H134=""),"",C134-H134)</f>
        <v/>
      </c>
      <c r="J134" s="26">
        <f>IF(OR(B134="",H134=""),"",B134-IFERROR(INDEX(B$4:B$153,MATCH(1,(D$4:D$153=D134)*(C$4:C$153=H134),0)),B134))</f>
        <v/>
      </c>
      <c r="K134" s="24">
        <f>IF(OR(C134="",E134=""),"",C134+E134)</f>
        <v/>
      </c>
      <c r="L134" s="22" t="n"/>
    </row>
    <row r="135" ht="22" customHeight="1">
      <c r="A135" s="27" t="n">
        <v>132</v>
      </c>
      <c r="B135" s="28" t="n"/>
      <c r="C135" s="29" t="n"/>
      <c r="D135" s="27" t="n"/>
      <c r="E135" s="29">
        <f>IF(D135="","",VLOOKUP(D135,$N$1:$O$50,2,FALSE))</f>
        <v/>
      </c>
      <c r="F135" s="27" t="n"/>
      <c r="G135" s="30" t="n"/>
      <c r="H135" s="29" t="n"/>
      <c r="I135" s="29">
        <f>IF(OR(C135="",H135=""),"",C135-H135)</f>
        <v/>
      </c>
      <c r="J135" s="31">
        <f>IF(OR(B135="",H135=""),"",B135-IFERROR(INDEX(B$4:B$153,MATCH(1,(D$4:D$153=D135)*(C$4:C$153=H135),0)),B135))</f>
        <v/>
      </c>
      <c r="K135" s="29">
        <f>IF(OR(C135="",E135=""),"",C135+E135)</f>
        <v/>
      </c>
      <c r="L135" s="27" t="n"/>
    </row>
    <row r="136" ht="22" customHeight="1">
      <c r="A136" s="22" t="n">
        <v>133</v>
      </c>
      <c r="B136" s="23" t="n"/>
      <c r="C136" s="24" t="n"/>
      <c r="D136" s="22" t="n"/>
      <c r="E136" s="24">
        <f>IF(D136="","",VLOOKUP(D136,$N$1:$O$50,2,FALSE))</f>
        <v/>
      </c>
      <c r="F136" s="22" t="n"/>
      <c r="G136" s="25" t="n"/>
      <c r="H136" s="24" t="n"/>
      <c r="I136" s="24">
        <f>IF(OR(C136="",H136=""),"",C136-H136)</f>
        <v/>
      </c>
      <c r="J136" s="26">
        <f>IF(OR(B136="",H136=""),"",B136-IFERROR(INDEX(B$4:B$153,MATCH(1,(D$4:D$153=D136)*(C$4:C$153=H136),0)),B136))</f>
        <v/>
      </c>
      <c r="K136" s="24">
        <f>IF(OR(C136="",E136=""),"",C136+E136)</f>
        <v/>
      </c>
      <c r="L136" s="22" t="n"/>
    </row>
    <row r="137" ht="22" customHeight="1">
      <c r="A137" s="27" t="n">
        <v>134</v>
      </c>
      <c r="B137" s="28" t="n"/>
      <c r="C137" s="29" t="n"/>
      <c r="D137" s="27" t="n"/>
      <c r="E137" s="29">
        <f>IF(D137="","",VLOOKUP(D137,$N$1:$O$50,2,FALSE))</f>
        <v/>
      </c>
      <c r="F137" s="27" t="n"/>
      <c r="G137" s="30" t="n"/>
      <c r="H137" s="29" t="n"/>
      <c r="I137" s="29">
        <f>IF(OR(C137="",H137=""),"",C137-H137)</f>
        <v/>
      </c>
      <c r="J137" s="31">
        <f>IF(OR(B137="",H137=""),"",B137-IFERROR(INDEX(B$4:B$153,MATCH(1,(D$4:D$153=D137)*(C$4:C$153=H137),0)),B137))</f>
        <v/>
      </c>
      <c r="K137" s="29">
        <f>IF(OR(C137="",E137=""),"",C137+E137)</f>
        <v/>
      </c>
      <c r="L137" s="27" t="n"/>
    </row>
    <row r="138" ht="22" customHeight="1">
      <c r="A138" s="22" t="n">
        <v>135</v>
      </c>
      <c r="B138" s="23" t="n"/>
      <c r="C138" s="24" t="n"/>
      <c r="D138" s="22" t="n"/>
      <c r="E138" s="24">
        <f>IF(D138="","",VLOOKUP(D138,$N$1:$O$50,2,FALSE))</f>
        <v/>
      </c>
      <c r="F138" s="22" t="n"/>
      <c r="G138" s="25" t="n"/>
      <c r="H138" s="24" t="n"/>
      <c r="I138" s="24">
        <f>IF(OR(C138="",H138=""),"",C138-H138)</f>
        <v/>
      </c>
      <c r="J138" s="26">
        <f>IF(OR(B138="",H138=""),"",B138-IFERROR(INDEX(B$4:B$153,MATCH(1,(D$4:D$153=D138)*(C$4:C$153=H138),0)),B138))</f>
        <v/>
      </c>
      <c r="K138" s="24">
        <f>IF(OR(C138="",E138=""),"",C138+E138)</f>
        <v/>
      </c>
      <c r="L138" s="22" t="n"/>
    </row>
    <row r="139" ht="22" customHeight="1">
      <c r="A139" s="27" t="n">
        <v>136</v>
      </c>
      <c r="B139" s="28" t="n"/>
      <c r="C139" s="29" t="n"/>
      <c r="D139" s="27" t="n"/>
      <c r="E139" s="29">
        <f>IF(D139="","",VLOOKUP(D139,$N$1:$O$50,2,FALSE))</f>
        <v/>
      </c>
      <c r="F139" s="27" t="n"/>
      <c r="G139" s="30" t="n"/>
      <c r="H139" s="29" t="n"/>
      <c r="I139" s="29">
        <f>IF(OR(C139="",H139=""),"",C139-H139)</f>
        <v/>
      </c>
      <c r="J139" s="31">
        <f>IF(OR(B139="",H139=""),"",B139-IFERROR(INDEX(B$4:B$153,MATCH(1,(D$4:D$153=D139)*(C$4:C$153=H139),0)),B139))</f>
        <v/>
      </c>
      <c r="K139" s="29">
        <f>IF(OR(C139="",E139=""),"",C139+E139)</f>
        <v/>
      </c>
      <c r="L139" s="27" t="n"/>
    </row>
    <row r="140" ht="22" customHeight="1">
      <c r="A140" s="22" t="n">
        <v>137</v>
      </c>
      <c r="B140" s="23" t="n"/>
      <c r="C140" s="24" t="n"/>
      <c r="D140" s="22" t="n"/>
      <c r="E140" s="24">
        <f>IF(D140="","",VLOOKUP(D140,$N$1:$O$50,2,FALSE))</f>
        <v/>
      </c>
      <c r="F140" s="22" t="n"/>
      <c r="G140" s="25" t="n"/>
      <c r="H140" s="24" t="n"/>
      <c r="I140" s="24">
        <f>IF(OR(C140="",H140=""),"",C140-H140)</f>
        <v/>
      </c>
      <c r="J140" s="26">
        <f>IF(OR(B140="",H140=""),"",B140-IFERROR(INDEX(B$4:B$153,MATCH(1,(D$4:D$153=D140)*(C$4:C$153=H140),0)),B140))</f>
        <v/>
      </c>
      <c r="K140" s="24">
        <f>IF(OR(C140="",E140=""),"",C140+E140)</f>
        <v/>
      </c>
      <c r="L140" s="22" t="n"/>
    </row>
    <row r="141" ht="22" customHeight="1">
      <c r="A141" s="27" t="n">
        <v>138</v>
      </c>
      <c r="B141" s="28" t="n"/>
      <c r="C141" s="29" t="n"/>
      <c r="D141" s="27" t="n"/>
      <c r="E141" s="29">
        <f>IF(D141="","",VLOOKUP(D141,$N$1:$O$50,2,FALSE))</f>
        <v/>
      </c>
      <c r="F141" s="27" t="n"/>
      <c r="G141" s="30" t="n"/>
      <c r="H141" s="29" t="n"/>
      <c r="I141" s="29">
        <f>IF(OR(C141="",H141=""),"",C141-H141)</f>
        <v/>
      </c>
      <c r="J141" s="31">
        <f>IF(OR(B141="",H141=""),"",B141-IFERROR(INDEX(B$4:B$153,MATCH(1,(D$4:D$153=D141)*(C$4:C$153=H141),0)),B141))</f>
        <v/>
      </c>
      <c r="K141" s="29">
        <f>IF(OR(C141="",E141=""),"",C141+E141)</f>
        <v/>
      </c>
      <c r="L141" s="27" t="n"/>
    </row>
    <row r="142" ht="22" customHeight="1">
      <c r="A142" s="22" t="n">
        <v>139</v>
      </c>
      <c r="B142" s="23" t="n"/>
      <c r="C142" s="24" t="n"/>
      <c r="D142" s="22" t="n"/>
      <c r="E142" s="24">
        <f>IF(D142="","",VLOOKUP(D142,$N$1:$O$50,2,FALSE))</f>
        <v/>
      </c>
      <c r="F142" s="22" t="n"/>
      <c r="G142" s="25" t="n"/>
      <c r="H142" s="24" t="n"/>
      <c r="I142" s="24">
        <f>IF(OR(C142="",H142=""),"",C142-H142)</f>
        <v/>
      </c>
      <c r="J142" s="26">
        <f>IF(OR(B142="",H142=""),"",B142-IFERROR(INDEX(B$4:B$153,MATCH(1,(D$4:D$153=D142)*(C$4:C$153=H142),0)),B142))</f>
        <v/>
      </c>
      <c r="K142" s="24">
        <f>IF(OR(C142="",E142=""),"",C142+E142)</f>
        <v/>
      </c>
      <c r="L142" s="22" t="n"/>
    </row>
    <row r="143" ht="22" customHeight="1">
      <c r="A143" s="27" t="n">
        <v>140</v>
      </c>
      <c r="B143" s="28" t="n"/>
      <c r="C143" s="29" t="n"/>
      <c r="D143" s="27" t="n"/>
      <c r="E143" s="29">
        <f>IF(D143="","",VLOOKUP(D143,$N$1:$O$50,2,FALSE))</f>
        <v/>
      </c>
      <c r="F143" s="27" t="n"/>
      <c r="G143" s="30" t="n"/>
      <c r="H143" s="29" t="n"/>
      <c r="I143" s="29">
        <f>IF(OR(C143="",H143=""),"",C143-H143)</f>
        <v/>
      </c>
      <c r="J143" s="31">
        <f>IF(OR(B143="",H143=""),"",B143-IFERROR(INDEX(B$4:B$153,MATCH(1,(D$4:D$153=D143)*(C$4:C$153=H143),0)),B143))</f>
        <v/>
      </c>
      <c r="K143" s="29">
        <f>IF(OR(C143="",E143=""),"",C143+E143)</f>
        <v/>
      </c>
      <c r="L143" s="27" t="n"/>
    </row>
    <row r="144" ht="22" customHeight="1">
      <c r="A144" s="22" t="n">
        <v>141</v>
      </c>
      <c r="B144" s="23" t="n"/>
      <c r="C144" s="24" t="n"/>
      <c r="D144" s="22" t="n"/>
      <c r="E144" s="24">
        <f>IF(D144="","",VLOOKUP(D144,$N$1:$O$50,2,FALSE))</f>
        <v/>
      </c>
      <c r="F144" s="22" t="n"/>
      <c r="G144" s="25" t="n"/>
      <c r="H144" s="24" t="n"/>
      <c r="I144" s="24">
        <f>IF(OR(C144="",H144=""),"",C144-H144)</f>
        <v/>
      </c>
      <c r="J144" s="26">
        <f>IF(OR(B144="",H144=""),"",B144-IFERROR(INDEX(B$4:B$153,MATCH(1,(D$4:D$153=D144)*(C$4:C$153=H144),0)),B144))</f>
        <v/>
      </c>
      <c r="K144" s="24">
        <f>IF(OR(C144="",E144=""),"",C144+E144)</f>
        <v/>
      </c>
      <c r="L144" s="22" t="n"/>
    </row>
    <row r="145" ht="22" customHeight="1">
      <c r="A145" s="27" t="n">
        <v>142</v>
      </c>
      <c r="B145" s="28" t="n"/>
      <c r="C145" s="29" t="n"/>
      <c r="D145" s="27" t="n"/>
      <c r="E145" s="29">
        <f>IF(D145="","",VLOOKUP(D145,$N$1:$O$50,2,FALSE))</f>
        <v/>
      </c>
      <c r="F145" s="27" t="n"/>
      <c r="G145" s="30" t="n"/>
      <c r="H145" s="29" t="n"/>
      <c r="I145" s="29">
        <f>IF(OR(C145="",H145=""),"",C145-H145)</f>
        <v/>
      </c>
      <c r="J145" s="31">
        <f>IF(OR(B145="",H145=""),"",B145-IFERROR(INDEX(B$4:B$153,MATCH(1,(D$4:D$153=D145)*(C$4:C$153=H145),0)),B145))</f>
        <v/>
      </c>
      <c r="K145" s="29">
        <f>IF(OR(C145="",E145=""),"",C145+E145)</f>
        <v/>
      </c>
      <c r="L145" s="27" t="n"/>
    </row>
    <row r="146" ht="22" customHeight="1">
      <c r="A146" s="22" t="n">
        <v>143</v>
      </c>
      <c r="B146" s="23" t="n"/>
      <c r="C146" s="24" t="n"/>
      <c r="D146" s="22" t="n"/>
      <c r="E146" s="24">
        <f>IF(D146="","",VLOOKUP(D146,$N$1:$O$50,2,FALSE))</f>
        <v/>
      </c>
      <c r="F146" s="22" t="n"/>
      <c r="G146" s="25" t="n"/>
      <c r="H146" s="24" t="n"/>
      <c r="I146" s="24">
        <f>IF(OR(C146="",H146=""),"",C146-H146)</f>
        <v/>
      </c>
      <c r="J146" s="26">
        <f>IF(OR(B146="",H146=""),"",B146-IFERROR(INDEX(B$4:B$153,MATCH(1,(D$4:D$153=D146)*(C$4:C$153=H146),0)),B146))</f>
        <v/>
      </c>
      <c r="K146" s="24">
        <f>IF(OR(C146="",E146=""),"",C146+E146)</f>
        <v/>
      </c>
      <c r="L146" s="22" t="n"/>
    </row>
    <row r="147" ht="22" customHeight="1">
      <c r="A147" s="27" t="n">
        <v>144</v>
      </c>
      <c r="B147" s="28" t="n"/>
      <c r="C147" s="29" t="n"/>
      <c r="D147" s="27" t="n"/>
      <c r="E147" s="29">
        <f>IF(D147="","",VLOOKUP(D147,$N$1:$O$50,2,FALSE))</f>
        <v/>
      </c>
      <c r="F147" s="27" t="n"/>
      <c r="G147" s="30" t="n"/>
      <c r="H147" s="29" t="n"/>
      <c r="I147" s="29">
        <f>IF(OR(C147="",H147=""),"",C147-H147)</f>
        <v/>
      </c>
      <c r="J147" s="31">
        <f>IF(OR(B147="",H147=""),"",B147-IFERROR(INDEX(B$4:B$153,MATCH(1,(D$4:D$153=D147)*(C$4:C$153=H147),0)),B147))</f>
        <v/>
      </c>
      <c r="K147" s="29">
        <f>IF(OR(C147="",E147=""),"",C147+E147)</f>
        <v/>
      </c>
      <c r="L147" s="27" t="n"/>
    </row>
    <row r="148" ht="22" customHeight="1">
      <c r="A148" s="22" t="n">
        <v>145</v>
      </c>
      <c r="B148" s="23" t="n"/>
      <c r="C148" s="24" t="n"/>
      <c r="D148" s="22" t="n"/>
      <c r="E148" s="24">
        <f>IF(D148="","",VLOOKUP(D148,$N$1:$O$50,2,FALSE))</f>
        <v/>
      </c>
      <c r="F148" s="22" t="n"/>
      <c r="G148" s="25" t="n"/>
      <c r="H148" s="24" t="n"/>
      <c r="I148" s="24">
        <f>IF(OR(C148="",H148=""),"",C148-H148)</f>
        <v/>
      </c>
      <c r="J148" s="26">
        <f>IF(OR(B148="",H148=""),"",B148-IFERROR(INDEX(B$4:B$153,MATCH(1,(D$4:D$153=D148)*(C$4:C$153=H148),0)),B148))</f>
        <v/>
      </c>
      <c r="K148" s="24">
        <f>IF(OR(C148="",E148=""),"",C148+E148)</f>
        <v/>
      </c>
      <c r="L148" s="22" t="n"/>
    </row>
    <row r="149" ht="22" customHeight="1">
      <c r="A149" s="27" t="n">
        <v>146</v>
      </c>
      <c r="B149" s="28" t="n"/>
      <c r="C149" s="29" t="n"/>
      <c r="D149" s="27" t="n"/>
      <c r="E149" s="29">
        <f>IF(D149="","",VLOOKUP(D149,$N$1:$O$50,2,FALSE))</f>
        <v/>
      </c>
      <c r="F149" s="27" t="n"/>
      <c r="G149" s="30" t="n"/>
      <c r="H149" s="29" t="n"/>
      <c r="I149" s="29">
        <f>IF(OR(C149="",H149=""),"",C149-H149)</f>
        <v/>
      </c>
      <c r="J149" s="31">
        <f>IF(OR(B149="",H149=""),"",B149-IFERROR(INDEX(B$4:B$153,MATCH(1,(D$4:D$153=D149)*(C$4:C$153=H149),0)),B149))</f>
        <v/>
      </c>
      <c r="K149" s="29">
        <f>IF(OR(C149="",E149=""),"",C149+E149)</f>
        <v/>
      </c>
      <c r="L149" s="27" t="n"/>
    </row>
    <row r="150" ht="22" customHeight="1">
      <c r="A150" s="22" t="n">
        <v>147</v>
      </c>
      <c r="B150" s="23" t="n"/>
      <c r="C150" s="24" t="n"/>
      <c r="D150" s="22" t="n"/>
      <c r="E150" s="24">
        <f>IF(D150="","",VLOOKUP(D150,$N$1:$O$50,2,FALSE))</f>
        <v/>
      </c>
      <c r="F150" s="22" t="n"/>
      <c r="G150" s="25" t="n"/>
      <c r="H150" s="24" t="n"/>
      <c r="I150" s="24">
        <f>IF(OR(C150="",H150=""),"",C150-H150)</f>
        <v/>
      </c>
      <c r="J150" s="26">
        <f>IF(OR(B150="",H150=""),"",B150-IFERROR(INDEX(B$4:B$153,MATCH(1,(D$4:D$153=D150)*(C$4:C$153=H150),0)),B150))</f>
        <v/>
      </c>
      <c r="K150" s="24">
        <f>IF(OR(C150="",E150=""),"",C150+E150)</f>
        <v/>
      </c>
      <c r="L150" s="22" t="n"/>
    </row>
    <row r="151" ht="22" customHeight="1">
      <c r="A151" s="27" t="n">
        <v>148</v>
      </c>
      <c r="B151" s="28" t="n"/>
      <c r="C151" s="29" t="n"/>
      <c r="D151" s="27" t="n"/>
      <c r="E151" s="29">
        <f>IF(D151="","",VLOOKUP(D151,$N$1:$O$50,2,FALSE))</f>
        <v/>
      </c>
      <c r="F151" s="27" t="n"/>
      <c r="G151" s="30" t="n"/>
      <c r="H151" s="29" t="n"/>
      <c r="I151" s="29">
        <f>IF(OR(C151="",H151=""),"",C151-H151)</f>
        <v/>
      </c>
      <c r="J151" s="31">
        <f>IF(OR(B151="",H151=""),"",B151-IFERROR(INDEX(B$4:B$153,MATCH(1,(D$4:D$153=D151)*(C$4:C$153=H151),0)),B151))</f>
        <v/>
      </c>
      <c r="K151" s="29">
        <f>IF(OR(C151="",E151=""),"",C151+E151)</f>
        <v/>
      </c>
      <c r="L151" s="27" t="n"/>
    </row>
    <row r="152" ht="22" customHeight="1">
      <c r="A152" s="22" t="n">
        <v>149</v>
      </c>
      <c r="B152" s="23" t="n"/>
      <c r="C152" s="24" t="n"/>
      <c r="D152" s="22" t="n"/>
      <c r="E152" s="24">
        <f>IF(D152="","",VLOOKUP(D152,$N$1:$O$50,2,FALSE))</f>
        <v/>
      </c>
      <c r="F152" s="22" t="n"/>
      <c r="G152" s="25" t="n"/>
      <c r="H152" s="24" t="n"/>
      <c r="I152" s="24">
        <f>IF(OR(C152="",H152=""),"",C152-H152)</f>
        <v/>
      </c>
      <c r="J152" s="26">
        <f>IF(OR(B152="",H152=""),"",B152-IFERROR(INDEX(B$4:B$153,MATCH(1,(D$4:D$153=D152)*(C$4:C$153=H152),0)),B152))</f>
        <v/>
      </c>
      <c r="K152" s="24">
        <f>IF(OR(C152="",E152=""),"",C152+E152)</f>
        <v/>
      </c>
      <c r="L152" s="22" t="n"/>
    </row>
    <row r="153" ht="22" customHeight="1">
      <c r="A153" s="27" t="n">
        <v>150</v>
      </c>
      <c r="B153" s="28" t="n"/>
      <c r="C153" s="29" t="n"/>
      <c r="D153" s="27" t="n"/>
      <c r="E153" s="29">
        <f>IF(D153="","",VLOOKUP(D153,$N$1:$O$50,2,FALSE))</f>
        <v/>
      </c>
      <c r="F153" s="27" t="n"/>
      <c r="G153" s="30" t="n"/>
      <c r="H153" s="29" t="n"/>
      <c r="I153" s="29">
        <f>IF(OR(C153="",H153=""),"",C153-H153)</f>
        <v/>
      </c>
      <c r="J153" s="31">
        <f>IF(OR(B153="",H153=""),"",B153-IFERROR(INDEX(B$4:B$153,MATCH(1,(D$4:D$153=D153)*(C$4:C$153=H153),0)),B153))</f>
        <v/>
      </c>
      <c r="K153" s="29">
        <f>IF(OR(C153="",E153=""),"",C153+E153)</f>
        <v/>
      </c>
      <c r="L153" s="27" t="n"/>
    </row>
    <row r="154">
      <c r="A154" s="32" t="inlineStr">
        <is>
          <t>TOTAL INVESTIDO EM PREVENTIVA</t>
        </is>
      </c>
      <c r="B154" s="33" t="n"/>
      <c r="C154" s="33" t="n"/>
      <c r="D154" s="33" t="n"/>
      <c r="E154" s="33" t="n"/>
      <c r="F154" s="33" t="n"/>
      <c r="G154" s="34">
        <f>SUM(G4:G153)</f>
        <v/>
      </c>
      <c r="H154" s="33" t="n"/>
      <c r="I154" s="33" t="n"/>
      <c r="J154" s="33" t="n"/>
      <c r="K154" s="33" t="n"/>
      <c r="L154" s="33" t="n"/>
    </row>
  </sheetData>
  <autoFilter ref="A3:L153"/>
  <mergeCells count="2">
    <mergeCell ref="A154:F154"/>
    <mergeCell ref="A1:L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showDropDown="0" showInputMessage="0" showErrorMessage="0" allowBlank="1" promptTitle="Peça" prompt="Selecione a peça" type="list">
      <formula1>=$N$1:$N$50</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2E86C1"/>
    <outlinePr summaryBelow="1" summaryRight="1"/>
    <pageSetUpPr fitToPage="1"/>
  </sheetPr>
  <dimension ref="A1:P154"/>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20" customWidth="1" min="3" max="3"/>
    <col width="38" customWidth="1" min="4" max="4"/>
    <col width="35" customWidth="1" min="5" max="5"/>
    <col width="24" customWidth="1" min="6" max="6"/>
    <col width="20" customWidth="1" min="7" max="7"/>
    <col width="18" customWidth="1" min="8" max="8"/>
    <col width="20" customWidth="1" min="9" max="9"/>
    <col width="18" customWidth="1" min="10" max="10"/>
    <col width="22" customWidth="1" min="11" max="11"/>
    <col width="20" customWidth="1" min="12" max="12"/>
    <col width="18" customWidth="1" min="13" max="13"/>
    <col width="18" customWidth="1" min="14" max="14"/>
    <col hidden="1" width="13" customWidth="1" min="16" max="16"/>
  </cols>
  <sheetData>
    <row r="1" ht="38" customHeight="1">
      <c r="A1" s="20" t="inlineStr">
        <is>
          <t>MANUTENÇÃO CORRETIVA (QUEBRAS) — HR HYUNDAI 2018</t>
        </is>
      </c>
      <c r="B1" s="21" t="n"/>
      <c r="C1" s="21" t="n"/>
      <c r="D1" s="21" t="n"/>
      <c r="E1" s="21" t="n"/>
      <c r="F1" s="21" t="n"/>
      <c r="G1" s="21" t="n"/>
      <c r="H1" s="21" t="n"/>
      <c r="I1" s="21" t="n"/>
      <c r="J1" s="21" t="n"/>
      <c r="K1" s="21" t="n"/>
      <c r="L1" s="21" t="n"/>
      <c r="M1" s="21" t="n"/>
      <c r="N1" s="21" t="n"/>
      <c r="P1" t="inlineStr">
        <is>
          <t>Óleo do Motor 5W-30 (Diesel)</t>
        </is>
      </c>
    </row>
    <row r="2">
      <c r="P2" t="inlineStr">
        <is>
          <t>Filtro de Óleo</t>
        </is>
      </c>
    </row>
    <row r="3" ht="32" customHeight="1">
      <c r="A3" s="12" t="inlineStr">
        <is>
          <t>Nº</t>
        </is>
      </c>
      <c r="B3" s="12" t="inlineStr">
        <is>
          <t>Data da Quebra</t>
        </is>
      </c>
      <c r="C3" s="12" t="inlineStr">
        <is>
          <t>Odômetro Quebra (km)</t>
        </is>
      </c>
      <c r="D3" s="12" t="inlineStr">
        <is>
          <t>Peça que Quebrou</t>
        </is>
      </c>
      <c r="E3" s="12" t="inlineStr">
        <is>
          <t>Descrição do Problema</t>
        </is>
      </c>
      <c r="F3" s="12" t="inlineStr">
        <is>
          <t>Oficina / Mecânico</t>
        </is>
      </c>
      <c r="G3" s="12" t="inlineStr">
        <is>
          <t>Valor do Conserto (R$)</t>
        </is>
      </c>
      <c r="H3" s="12" t="inlineStr">
        <is>
          <t>Valor da Peça (R$)</t>
        </is>
      </c>
      <c r="I3" s="12" t="inlineStr">
        <is>
          <t>Valor Mão de Obra (R$)</t>
        </is>
      </c>
      <c r="J3" s="12" t="inlineStr">
        <is>
          <t>Custo Total (R$)</t>
        </is>
      </c>
      <c r="K3" s="12" t="inlineStr">
        <is>
          <t>Data Última Quebra (mesma peça)</t>
        </is>
      </c>
      <c r="L3" s="12" t="inlineStr">
        <is>
          <t>Odômetro Última Quebra</t>
        </is>
      </c>
      <c r="M3" s="12" t="inlineStr">
        <is>
          <t>Dias entre Quebras</t>
        </is>
      </c>
      <c r="N3" s="12" t="inlineStr">
        <is>
          <t>Km entre Quebras</t>
        </is>
      </c>
      <c r="P3" t="inlineStr">
        <is>
          <t>Filtro de Combustível</t>
        </is>
      </c>
    </row>
    <row r="4" ht="22" customHeight="1">
      <c r="A4" s="22" t="n">
        <v>1</v>
      </c>
      <c r="B4" s="23" t="n"/>
      <c r="C4" s="24" t="n"/>
      <c r="D4" s="22" t="n"/>
      <c r="E4" s="22" t="n"/>
      <c r="F4" s="22" t="n"/>
      <c r="G4" s="25" t="n"/>
      <c r="H4" s="25" t="n"/>
      <c r="I4" s="25" t="n"/>
      <c r="J4" s="25">
        <f>IF(G4&lt;&gt;"",G4,IF(OR(H4="",I4=""),"",H4+I4))</f>
        <v/>
      </c>
      <c r="K4" s="23" t="n"/>
      <c r="L4" s="24" t="n"/>
      <c r="M4" s="26">
        <f>IF(OR(B4="",K4=""),"",B4-K4)</f>
        <v/>
      </c>
      <c r="N4" s="24">
        <f>IF(OR(C4="",L4=""),"",C4-L4)</f>
        <v/>
      </c>
      <c r="P4" t="inlineStr">
        <is>
          <t>Filtro de Ar do Motor</t>
        </is>
      </c>
    </row>
    <row r="5" ht="22" customHeight="1">
      <c r="A5" s="27" t="n">
        <v>2</v>
      </c>
      <c r="B5" s="28" t="n"/>
      <c r="C5" s="29" t="n"/>
      <c r="D5" s="27" t="n"/>
      <c r="E5" s="27" t="n"/>
      <c r="F5" s="27" t="n"/>
      <c r="G5" s="30" t="n"/>
      <c r="H5" s="30" t="n"/>
      <c r="I5" s="30" t="n"/>
      <c r="J5" s="30">
        <f>IF(G5&lt;&gt;"",G5,IF(OR(H5="",I5=""),"",H5+I5))</f>
        <v/>
      </c>
      <c r="K5" s="28" t="n"/>
      <c r="L5" s="29" t="n"/>
      <c r="M5" s="31">
        <f>IF(OR(B5="",K5=""),"",B5-K5)</f>
        <v/>
      </c>
      <c r="N5" s="29">
        <f>IF(OR(C5="",L5=""),"",C5-L5)</f>
        <v/>
      </c>
      <c r="P5" t="inlineStr">
        <is>
          <t>Filtro de Ar Condicionado (Cabine)</t>
        </is>
      </c>
    </row>
    <row r="6" ht="22" customHeight="1">
      <c r="A6" s="22" t="n">
        <v>3</v>
      </c>
      <c r="B6" s="23" t="n"/>
      <c r="C6" s="24" t="n"/>
      <c r="D6" s="22" t="n"/>
      <c r="E6" s="22" t="n"/>
      <c r="F6" s="22" t="n"/>
      <c r="G6" s="25" t="n"/>
      <c r="H6" s="25" t="n"/>
      <c r="I6" s="25" t="n"/>
      <c r="J6" s="25">
        <f>IF(G6&lt;&gt;"",G6,IF(OR(H6="",I6=""),"",H6+I6))</f>
        <v/>
      </c>
      <c r="K6" s="23" t="n"/>
      <c r="L6" s="24" t="n"/>
      <c r="M6" s="26">
        <f>IF(OR(B6="",K6=""),"",B6-K6)</f>
        <v/>
      </c>
      <c r="N6" s="24">
        <f>IF(OR(C6="",L6=""),"",C6-L6)</f>
        <v/>
      </c>
      <c r="P6" t="inlineStr">
        <is>
          <t>Correia Dentada</t>
        </is>
      </c>
    </row>
    <row r="7" ht="22" customHeight="1">
      <c r="A7" s="27" t="n">
        <v>4</v>
      </c>
      <c r="B7" s="28" t="n"/>
      <c r="C7" s="29" t="n"/>
      <c r="D7" s="27" t="n"/>
      <c r="E7" s="27" t="n"/>
      <c r="F7" s="27" t="n"/>
      <c r="G7" s="30" t="n"/>
      <c r="H7" s="30" t="n"/>
      <c r="I7" s="30" t="n"/>
      <c r="J7" s="30">
        <f>IF(G7&lt;&gt;"",G7,IF(OR(H7="",I7=""),"",H7+I7))</f>
        <v/>
      </c>
      <c r="K7" s="28" t="n"/>
      <c r="L7" s="29" t="n"/>
      <c r="M7" s="31">
        <f>IF(OR(B7="",K7=""),"",B7-K7)</f>
        <v/>
      </c>
      <c r="N7" s="29">
        <f>IF(OR(C7="",L7=""),"",C7-L7)</f>
        <v/>
      </c>
      <c r="P7" t="inlineStr">
        <is>
          <t>Correia do Alternador</t>
        </is>
      </c>
    </row>
    <row r="8" ht="22" customHeight="1">
      <c r="A8" s="22" t="n">
        <v>5</v>
      </c>
      <c r="B8" s="23" t="n"/>
      <c r="C8" s="24" t="n"/>
      <c r="D8" s="22" t="n"/>
      <c r="E8" s="22" t="n"/>
      <c r="F8" s="22" t="n"/>
      <c r="G8" s="25" t="n"/>
      <c r="H8" s="25" t="n"/>
      <c r="I8" s="25" t="n"/>
      <c r="J8" s="25">
        <f>IF(G8&lt;&gt;"",G8,IF(OR(H8="",I8=""),"",H8+I8))</f>
        <v/>
      </c>
      <c r="K8" s="23" t="n"/>
      <c r="L8" s="24" t="n"/>
      <c r="M8" s="26">
        <f>IF(OR(B8="",K8=""),"",B8-K8)</f>
        <v/>
      </c>
      <c r="N8" s="24">
        <f>IF(OR(C8="",L8=""),"",C8-L8)</f>
        <v/>
      </c>
      <c r="P8" t="inlineStr">
        <is>
          <t>Tensor da Correia Dentada</t>
        </is>
      </c>
    </row>
    <row r="9" ht="22" customHeight="1">
      <c r="A9" s="27" t="n">
        <v>6</v>
      </c>
      <c r="B9" s="28" t="n"/>
      <c r="C9" s="29" t="n"/>
      <c r="D9" s="27" t="n"/>
      <c r="E9" s="27" t="n"/>
      <c r="F9" s="27" t="n"/>
      <c r="G9" s="30" t="n"/>
      <c r="H9" s="30" t="n"/>
      <c r="I9" s="30" t="n"/>
      <c r="J9" s="30">
        <f>IF(G9&lt;&gt;"",G9,IF(OR(H9="",I9=""),"",H9+I9))</f>
        <v/>
      </c>
      <c r="K9" s="28" t="n"/>
      <c r="L9" s="29" t="n"/>
      <c r="M9" s="31">
        <f>IF(OR(B9="",K9=""),"",B9-K9)</f>
        <v/>
      </c>
      <c r="N9" s="29">
        <f>IF(OR(C9="",L9=""),"",C9-L9)</f>
        <v/>
      </c>
      <c r="P9" t="inlineStr">
        <is>
          <t>Bomba d'Água</t>
        </is>
      </c>
    </row>
    <row r="10" ht="22" customHeight="1">
      <c r="A10" s="22" t="n">
        <v>7</v>
      </c>
      <c r="B10" s="23" t="n"/>
      <c r="C10" s="24" t="n"/>
      <c r="D10" s="22" t="n"/>
      <c r="E10" s="22" t="n"/>
      <c r="F10" s="22" t="n"/>
      <c r="G10" s="25" t="n"/>
      <c r="H10" s="25" t="n"/>
      <c r="I10" s="25" t="n"/>
      <c r="J10" s="25">
        <f>IF(G10&lt;&gt;"",G10,IF(OR(H10="",I10=""),"",H10+I10))</f>
        <v/>
      </c>
      <c r="K10" s="23" t="n"/>
      <c r="L10" s="24" t="n"/>
      <c r="M10" s="26">
        <f>IF(OR(B10="",K10=""),"",B10-K10)</f>
        <v/>
      </c>
      <c r="N10" s="24">
        <f>IF(OR(C10="",L10=""),"",C10-L10)</f>
        <v/>
      </c>
      <c r="P10" t="inlineStr">
        <is>
          <t>Kit de Embreagem (Disco + Platô + Rolamento)</t>
        </is>
      </c>
    </row>
    <row r="11" ht="22" customHeight="1">
      <c r="A11" s="27" t="n">
        <v>8</v>
      </c>
      <c r="B11" s="28" t="n"/>
      <c r="C11" s="29" t="n"/>
      <c r="D11" s="27" t="n"/>
      <c r="E11" s="27" t="n"/>
      <c r="F11" s="27" t="n"/>
      <c r="G11" s="30" t="n"/>
      <c r="H11" s="30" t="n"/>
      <c r="I11" s="30" t="n"/>
      <c r="J11" s="30">
        <f>IF(G11&lt;&gt;"",G11,IF(OR(H11="",I11=""),"",H11+I11))</f>
        <v/>
      </c>
      <c r="K11" s="28" t="n"/>
      <c r="L11" s="29" t="n"/>
      <c r="M11" s="31">
        <f>IF(OR(B11="",K11=""),"",B11-K11)</f>
        <v/>
      </c>
      <c r="N11" s="29">
        <f>IF(OR(C11="",L11=""),"",C11-L11)</f>
        <v/>
      </c>
      <c r="P11" t="inlineStr">
        <is>
          <t>Fluido de Embreagem</t>
        </is>
      </c>
    </row>
    <row r="12" ht="22" customHeight="1">
      <c r="A12" s="22" t="n">
        <v>9</v>
      </c>
      <c r="B12" s="23" t="n"/>
      <c r="C12" s="24" t="n"/>
      <c r="D12" s="22" t="n"/>
      <c r="E12" s="22" t="n"/>
      <c r="F12" s="22" t="n"/>
      <c r="G12" s="25" t="n"/>
      <c r="H12" s="25" t="n"/>
      <c r="I12" s="25" t="n"/>
      <c r="J12" s="25">
        <f>IF(G12&lt;&gt;"",G12,IF(OR(H12="",I12=""),"",H12+I12))</f>
        <v/>
      </c>
      <c r="K12" s="23" t="n"/>
      <c r="L12" s="24" t="n"/>
      <c r="M12" s="26">
        <f>IF(OR(B12="",K12=""),"",B12-K12)</f>
        <v/>
      </c>
      <c r="N12" s="24">
        <f>IF(OR(C12="",L12=""),"",C12-L12)</f>
        <v/>
      </c>
      <c r="P12" t="inlineStr">
        <is>
          <t>Pastilhas de Freio Dianteiras</t>
        </is>
      </c>
    </row>
    <row r="13" ht="22" customHeight="1">
      <c r="A13" s="27" t="n">
        <v>10</v>
      </c>
      <c r="B13" s="28" t="n"/>
      <c r="C13" s="29" t="n"/>
      <c r="D13" s="27" t="n"/>
      <c r="E13" s="27" t="n"/>
      <c r="F13" s="27" t="n"/>
      <c r="G13" s="30" t="n"/>
      <c r="H13" s="30" t="n"/>
      <c r="I13" s="30" t="n"/>
      <c r="J13" s="30">
        <f>IF(G13&lt;&gt;"",G13,IF(OR(H13="",I13=""),"",H13+I13))</f>
        <v/>
      </c>
      <c r="K13" s="28" t="n"/>
      <c r="L13" s="29" t="n"/>
      <c r="M13" s="31">
        <f>IF(OR(B13="",K13=""),"",B13-K13)</f>
        <v/>
      </c>
      <c r="N13" s="29">
        <f>IF(OR(C13="",L13=""),"",C13-L13)</f>
        <v/>
      </c>
      <c r="P13" t="inlineStr">
        <is>
          <t>Lonas de Freio Traseiras</t>
        </is>
      </c>
    </row>
    <row r="14" ht="22" customHeight="1">
      <c r="A14" s="22" t="n">
        <v>11</v>
      </c>
      <c r="B14" s="23" t="n"/>
      <c r="C14" s="24" t="n"/>
      <c r="D14" s="22" t="n"/>
      <c r="E14" s="22" t="n"/>
      <c r="F14" s="22" t="n"/>
      <c r="G14" s="25" t="n"/>
      <c r="H14" s="25" t="n"/>
      <c r="I14" s="25" t="n"/>
      <c r="J14" s="25">
        <f>IF(G14&lt;&gt;"",G14,IF(OR(H14="",I14=""),"",H14+I14))</f>
        <v/>
      </c>
      <c r="K14" s="23" t="n"/>
      <c r="L14" s="24" t="n"/>
      <c r="M14" s="26">
        <f>IF(OR(B14="",K14=""),"",B14-K14)</f>
        <v/>
      </c>
      <c r="N14" s="24">
        <f>IF(OR(C14="",L14=""),"",C14-L14)</f>
        <v/>
      </c>
      <c r="P14" t="inlineStr">
        <is>
          <t>Disco de Freio Dianteiro</t>
        </is>
      </c>
    </row>
    <row r="15" ht="22" customHeight="1">
      <c r="A15" s="27" t="n">
        <v>12</v>
      </c>
      <c r="B15" s="28" t="n"/>
      <c r="C15" s="29" t="n"/>
      <c r="D15" s="27" t="n"/>
      <c r="E15" s="27" t="n"/>
      <c r="F15" s="27" t="n"/>
      <c r="G15" s="30" t="n"/>
      <c r="H15" s="30" t="n"/>
      <c r="I15" s="30" t="n"/>
      <c r="J15" s="30">
        <f>IF(G15&lt;&gt;"",G15,IF(OR(H15="",I15=""),"",H15+I15))</f>
        <v/>
      </c>
      <c r="K15" s="28" t="n"/>
      <c r="L15" s="29" t="n"/>
      <c r="M15" s="31">
        <f>IF(OR(B15="",K15=""),"",B15-K15)</f>
        <v/>
      </c>
      <c r="N15" s="29">
        <f>IF(OR(C15="",L15=""),"",C15-L15)</f>
        <v/>
      </c>
      <c r="P15" t="inlineStr">
        <is>
          <t>Tambor de Freio Traseiro</t>
        </is>
      </c>
    </row>
    <row r="16" ht="22" customHeight="1">
      <c r="A16" s="22" t="n">
        <v>13</v>
      </c>
      <c r="B16" s="23" t="n"/>
      <c r="C16" s="24" t="n"/>
      <c r="D16" s="22" t="n"/>
      <c r="E16" s="22" t="n"/>
      <c r="F16" s="22" t="n"/>
      <c r="G16" s="25" t="n"/>
      <c r="H16" s="25" t="n"/>
      <c r="I16" s="25" t="n"/>
      <c r="J16" s="25">
        <f>IF(G16&lt;&gt;"",G16,IF(OR(H16="",I16=""),"",H16+I16))</f>
        <v/>
      </c>
      <c r="K16" s="23" t="n"/>
      <c r="L16" s="24" t="n"/>
      <c r="M16" s="26">
        <f>IF(OR(B16="",K16=""),"",B16-K16)</f>
        <v/>
      </c>
      <c r="N16" s="24">
        <f>IF(OR(C16="",L16=""),"",C16-L16)</f>
        <v/>
      </c>
      <c r="P16" t="inlineStr">
        <is>
          <t>Fluido de Freio DOT4</t>
        </is>
      </c>
    </row>
    <row r="17" ht="22" customHeight="1">
      <c r="A17" s="27" t="n">
        <v>14</v>
      </c>
      <c r="B17" s="28" t="n"/>
      <c r="C17" s="29" t="n"/>
      <c r="D17" s="27" t="n"/>
      <c r="E17" s="27" t="n"/>
      <c r="F17" s="27" t="n"/>
      <c r="G17" s="30" t="n"/>
      <c r="H17" s="30" t="n"/>
      <c r="I17" s="30" t="n"/>
      <c r="J17" s="30">
        <f>IF(G17&lt;&gt;"",G17,IF(OR(H17="",I17=""),"",H17+I17))</f>
        <v/>
      </c>
      <c r="K17" s="28" t="n"/>
      <c r="L17" s="29" t="n"/>
      <c r="M17" s="31">
        <f>IF(OR(B17="",K17=""),"",B17-K17)</f>
        <v/>
      </c>
      <c r="N17" s="29">
        <f>IF(OR(C17="",L17=""),"",C17-L17)</f>
        <v/>
      </c>
      <c r="P17" t="inlineStr">
        <is>
          <t>Óleo da Direção Hidráulica</t>
        </is>
      </c>
    </row>
    <row r="18" ht="22" customHeight="1">
      <c r="A18" s="22" t="n">
        <v>15</v>
      </c>
      <c r="B18" s="23" t="n"/>
      <c r="C18" s="24" t="n"/>
      <c r="D18" s="22" t="n"/>
      <c r="E18" s="22" t="n"/>
      <c r="F18" s="22" t="n"/>
      <c r="G18" s="25" t="n"/>
      <c r="H18" s="25" t="n"/>
      <c r="I18" s="25" t="n"/>
      <c r="J18" s="25">
        <f>IF(G18&lt;&gt;"",G18,IF(OR(H18="",I18=""),"",H18+I18))</f>
        <v/>
      </c>
      <c r="K18" s="23" t="n"/>
      <c r="L18" s="24" t="n"/>
      <c r="M18" s="26">
        <f>IF(OR(B18="",K18=""),"",B18-K18)</f>
        <v/>
      </c>
      <c r="N18" s="24">
        <f>IF(OR(C18="",L18=""),"",C18-L18)</f>
        <v/>
      </c>
      <c r="P18" t="inlineStr">
        <is>
          <t>Amortecedores Dianteiros (par)</t>
        </is>
      </c>
    </row>
    <row r="19" ht="22" customHeight="1">
      <c r="A19" s="27" t="n">
        <v>16</v>
      </c>
      <c r="B19" s="28" t="n"/>
      <c r="C19" s="29" t="n"/>
      <c r="D19" s="27" t="n"/>
      <c r="E19" s="27" t="n"/>
      <c r="F19" s="27" t="n"/>
      <c r="G19" s="30" t="n"/>
      <c r="H19" s="30" t="n"/>
      <c r="I19" s="30" t="n"/>
      <c r="J19" s="30">
        <f>IF(G19&lt;&gt;"",G19,IF(OR(H19="",I19=""),"",H19+I19))</f>
        <v/>
      </c>
      <c r="K19" s="28" t="n"/>
      <c r="L19" s="29" t="n"/>
      <c r="M19" s="31">
        <f>IF(OR(B19="",K19=""),"",B19-K19)</f>
        <v/>
      </c>
      <c r="N19" s="29">
        <f>IF(OR(C19="",L19=""),"",C19-L19)</f>
        <v/>
      </c>
      <c r="P19" t="inlineStr">
        <is>
          <t>Amortecedores Traseiros (par)</t>
        </is>
      </c>
    </row>
    <row r="20" ht="22" customHeight="1">
      <c r="A20" s="22" t="n">
        <v>17</v>
      </c>
      <c r="B20" s="23" t="n"/>
      <c r="C20" s="24" t="n"/>
      <c r="D20" s="22" t="n"/>
      <c r="E20" s="22" t="n"/>
      <c r="F20" s="22" t="n"/>
      <c r="G20" s="25" t="n"/>
      <c r="H20" s="25" t="n"/>
      <c r="I20" s="25" t="n"/>
      <c r="J20" s="25">
        <f>IF(G20&lt;&gt;"",G20,IF(OR(H20="",I20=""),"",H20+I20))</f>
        <v/>
      </c>
      <c r="K20" s="23" t="n"/>
      <c r="L20" s="24" t="n"/>
      <c r="M20" s="26">
        <f>IF(OR(B20="",K20=""),"",B20-K20)</f>
        <v/>
      </c>
      <c r="N20" s="24">
        <f>IF(OR(C20="",L20=""),"",C20-L20)</f>
        <v/>
      </c>
      <c r="P20" t="inlineStr">
        <is>
          <t>Molas Dianteiras (par)</t>
        </is>
      </c>
    </row>
    <row r="21" ht="22" customHeight="1">
      <c r="A21" s="27" t="n">
        <v>18</v>
      </c>
      <c r="B21" s="28" t="n"/>
      <c r="C21" s="29" t="n"/>
      <c r="D21" s="27" t="n"/>
      <c r="E21" s="27" t="n"/>
      <c r="F21" s="27" t="n"/>
      <c r="G21" s="30" t="n"/>
      <c r="H21" s="30" t="n"/>
      <c r="I21" s="30" t="n"/>
      <c r="J21" s="30">
        <f>IF(G21&lt;&gt;"",G21,IF(OR(H21="",I21=""),"",H21+I21))</f>
        <v/>
      </c>
      <c r="K21" s="28" t="n"/>
      <c r="L21" s="29" t="n"/>
      <c r="M21" s="31">
        <f>IF(OR(B21="",K21=""),"",B21-K21)</f>
        <v/>
      </c>
      <c r="N21" s="29">
        <f>IF(OR(C21="",L21=""),"",C21-L21)</f>
        <v/>
      </c>
      <c r="P21" t="inlineStr">
        <is>
          <t>Molas Traseiras / Feixe de Molas</t>
        </is>
      </c>
    </row>
    <row r="22" ht="22" customHeight="1">
      <c r="A22" s="22" t="n">
        <v>19</v>
      </c>
      <c r="B22" s="23" t="n"/>
      <c r="C22" s="24" t="n"/>
      <c r="D22" s="22" t="n"/>
      <c r="E22" s="22" t="n"/>
      <c r="F22" s="22" t="n"/>
      <c r="G22" s="25" t="n"/>
      <c r="H22" s="25" t="n"/>
      <c r="I22" s="25" t="n"/>
      <c r="J22" s="25">
        <f>IF(G22&lt;&gt;"",G22,IF(OR(H22="",I22=""),"",H22+I22))</f>
        <v/>
      </c>
      <c r="K22" s="23" t="n"/>
      <c r="L22" s="24" t="n"/>
      <c r="M22" s="26">
        <f>IF(OR(B22="",K22=""),"",B22-K22)</f>
        <v/>
      </c>
      <c r="N22" s="24">
        <f>IF(OR(C22="",L22=""),"",C22-L22)</f>
        <v/>
      </c>
      <c r="P22" t="inlineStr">
        <is>
          <t>Buchas da Suspensão (jogo)</t>
        </is>
      </c>
    </row>
    <row r="23" ht="22" customHeight="1">
      <c r="A23" s="27" t="n">
        <v>20</v>
      </c>
      <c r="B23" s="28" t="n"/>
      <c r="C23" s="29" t="n"/>
      <c r="D23" s="27" t="n"/>
      <c r="E23" s="27" t="n"/>
      <c r="F23" s="27" t="n"/>
      <c r="G23" s="30" t="n"/>
      <c r="H23" s="30" t="n"/>
      <c r="I23" s="30" t="n"/>
      <c r="J23" s="30">
        <f>IF(G23&lt;&gt;"",G23,IF(OR(H23="",I23=""),"",H23+I23))</f>
        <v/>
      </c>
      <c r="K23" s="28" t="n"/>
      <c r="L23" s="29" t="n"/>
      <c r="M23" s="31">
        <f>IF(OR(B23="",K23=""),"",B23-K23)</f>
        <v/>
      </c>
      <c r="N23" s="29">
        <f>IF(OR(C23="",L23=""),"",C23-L23)</f>
        <v/>
      </c>
      <c r="P23" t="inlineStr">
        <is>
          <t>Pivô de Direção</t>
        </is>
      </c>
    </row>
    <row r="24" ht="22" customHeight="1">
      <c r="A24" s="22" t="n">
        <v>21</v>
      </c>
      <c r="B24" s="23" t="n"/>
      <c r="C24" s="24" t="n"/>
      <c r="D24" s="22" t="n"/>
      <c r="E24" s="22" t="n"/>
      <c r="F24" s="22" t="n"/>
      <c r="G24" s="25" t="n"/>
      <c r="H24" s="25" t="n"/>
      <c r="I24" s="25" t="n"/>
      <c r="J24" s="25">
        <f>IF(G24&lt;&gt;"",G24,IF(OR(H24="",I24=""),"",H24+I24))</f>
        <v/>
      </c>
      <c r="K24" s="23" t="n"/>
      <c r="L24" s="24" t="n"/>
      <c r="M24" s="26">
        <f>IF(OR(B24="",K24=""),"",B24-K24)</f>
        <v/>
      </c>
      <c r="N24" s="24">
        <f>IF(OR(C24="",L24=""),"",C24-L24)</f>
        <v/>
      </c>
      <c r="P24" t="inlineStr">
        <is>
          <t>Terminais de Direção (par)</t>
        </is>
      </c>
    </row>
    <row r="25" ht="22" customHeight="1">
      <c r="A25" s="27" t="n">
        <v>22</v>
      </c>
      <c r="B25" s="28" t="n"/>
      <c r="C25" s="29" t="n"/>
      <c r="D25" s="27" t="n"/>
      <c r="E25" s="27" t="n"/>
      <c r="F25" s="27" t="n"/>
      <c r="G25" s="30" t="n"/>
      <c r="H25" s="30" t="n"/>
      <c r="I25" s="30" t="n"/>
      <c r="J25" s="30">
        <f>IF(G25&lt;&gt;"",G25,IF(OR(H25="",I25=""),"",H25+I25))</f>
        <v/>
      </c>
      <c r="K25" s="28" t="n"/>
      <c r="L25" s="29" t="n"/>
      <c r="M25" s="31">
        <f>IF(OR(B25="",K25=""),"",B25-K25)</f>
        <v/>
      </c>
      <c r="N25" s="29">
        <f>IF(OR(C25="",L25=""),"",C25-L25)</f>
        <v/>
      </c>
      <c r="P25" t="inlineStr">
        <is>
          <t>Barra de Direção</t>
        </is>
      </c>
    </row>
    <row r="26" ht="22" customHeight="1">
      <c r="A26" s="22" t="n">
        <v>23</v>
      </c>
      <c r="B26" s="23" t="n"/>
      <c r="C26" s="24" t="n"/>
      <c r="D26" s="22" t="n"/>
      <c r="E26" s="22" t="n"/>
      <c r="F26" s="22" t="n"/>
      <c r="G26" s="25" t="n"/>
      <c r="H26" s="25" t="n"/>
      <c r="I26" s="25" t="n"/>
      <c r="J26" s="25">
        <f>IF(G26&lt;&gt;"",G26,IF(OR(H26="",I26=""),"",H26+I26))</f>
        <v/>
      </c>
      <c r="K26" s="23" t="n"/>
      <c r="L26" s="24" t="n"/>
      <c r="M26" s="26">
        <f>IF(OR(B26="",K26=""),"",B26-K26)</f>
        <v/>
      </c>
      <c r="N26" s="24">
        <f>IF(OR(C26="",L26=""),"",C26-L26)</f>
        <v/>
      </c>
      <c r="P26" t="inlineStr">
        <is>
          <t>Bateria 60Ah</t>
        </is>
      </c>
    </row>
    <row r="27" ht="22" customHeight="1">
      <c r="A27" s="27" t="n">
        <v>24</v>
      </c>
      <c r="B27" s="28" t="n"/>
      <c r="C27" s="29" t="n"/>
      <c r="D27" s="27" t="n"/>
      <c r="E27" s="27" t="n"/>
      <c r="F27" s="27" t="n"/>
      <c r="G27" s="30" t="n"/>
      <c r="H27" s="30" t="n"/>
      <c r="I27" s="30" t="n"/>
      <c r="J27" s="30">
        <f>IF(G27&lt;&gt;"",G27,IF(OR(H27="",I27=""),"",H27+I27))</f>
        <v/>
      </c>
      <c r="K27" s="28" t="n"/>
      <c r="L27" s="29" t="n"/>
      <c r="M27" s="31">
        <f>IF(OR(B27="",K27=""),"",B27-K27)</f>
        <v/>
      </c>
      <c r="N27" s="29">
        <f>IF(OR(C27="",L27=""),"",C27-L27)</f>
        <v/>
      </c>
      <c r="P27" t="inlineStr">
        <is>
          <t>Alternador</t>
        </is>
      </c>
    </row>
    <row r="28" ht="22" customHeight="1">
      <c r="A28" s="22" t="n">
        <v>25</v>
      </c>
      <c r="B28" s="23" t="n"/>
      <c r="C28" s="24" t="n"/>
      <c r="D28" s="22" t="n"/>
      <c r="E28" s="22" t="n"/>
      <c r="F28" s="22" t="n"/>
      <c r="G28" s="25" t="n"/>
      <c r="H28" s="25" t="n"/>
      <c r="I28" s="25" t="n"/>
      <c r="J28" s="25">
        <f>IF(G28&lt;&gt;"",G28,IF(OR(H28="",I28=""),"",H28+I28))</f>
        <v/>
      </c>
      <c r="K28" s="23" t="n"/>
      <c r="L28" s="24" t="n"/>
      <c r="M28" s="26">
        <f>IF(OR(B28="",K28=""),"",B28-K28)</f>
        <v/>
      </c>
      <c r="N28" s="24">
        <f>IF(OR(C28="",L28=""),"",C28-L28)</f>
        <v/>
      </c>
      <c r="P28" t="inlineStr">
        <is>
          <t>Motor de Arranque</t>
        </is>
      </c>
    </row>
    <row r="29" ht="22" customHeight="1">
      <c r="A29" s="27" t="n">
        <v>26</v>
      </c>
      <c r="B29" s="28" t="n"/>
      <c r="C29" s="29" t="n"/>
      <c r="D29" s="27" t="n"/>
      <c r="E29" s="27" t="n"/>
      <c r="F29" s="27" t="n"/>
      <c r="G29" s="30" t="n"/>
      <c r="H29" s="30" t="n"/>
      <c r="I29" s="30" t="n"/>
      <c r="J29" s="30">
        <f>IF(G29&lt;&gt;"",G29,IF(OR(H29="",I29=""),"",H29+I29))</f>
        <v/>
      </c>
      <c r="K29" s="28" t="n"/>
      <c r="L29" s="29" t="n"/>
      <c r="M29" s="31">
        <f>IF(OR(B29="",K29=""),"",B29-K29)</f>
        <v/>
      </c>
      <c r="N29" s="29">
        <f>IF(OR(C29="",L29=""),"",C29-L29)</f>
        <v/>
      </c>
      <c r="P29" t="inlineStr">
        <is>
          <t>Velas de Aquecimento (jogo 4)</t>
        </is>
      </c>
    </row>
    <row r="30" ht="22" customHeight="1">
      <c r="A30" s="22" t="n">
        <v>27</v>
      </c>
      <c r="B30" s="23" t="n"/>
      <c r="C30" s="24" t="n"/>
      <c r="D30" s="22" t="n"/>
      <c r="E30" s="22" t="n"/>
      <c r="F30" s="22" t="n"/>
      <c r="G30" s="25" t="n"/>
      <c r="H30" s="25" t="n"/>
      <c r="I30" s="25" t="n"/>
      <c r="J30" s="25">
        <f>IF(G30&lt;&gt;"",G30,IF(OR(H30="",I30=""),"",H30+I30))</f>
        <v/>
      </c>
      <c r="K30" s="23" t="n"/>
      <c r="L30" s="24" t="n"/>
      <c r="M30" s="26">
        <f>IF(OR(B30="",K30=""),"",B30-K30)</f>
        <v/>
      </c>
      <c r="N30" s="24">
        <f>IF(OR(C30="",L30=""),"",C30-L30)</f>
        <v/>
      </c>
      <c r="P30" t="inlineStr">
        <is>
          <t>Bomba Injetora</t>
        </is>
      </c>
    </row>
    <row r="31" ht="22" customHeight="1">
      <c r="A31" s="27" t="n">
        <v>28</v>
      </c>
      <c r="B31" s="28" t="n"/>
      <c r="C31" s="29" t="n"/>
      <c r="D31" s="27" t="n"/>
      <c r="E31" s="27" t="n"/>
      <c r="F31" s="27" t="n"/>
      <c r="G31" s="30" t="n"/>
      <c r="H31" s="30" t="n"/>
      <c r="I31" s="30" t="n"/>
      <c r="J31" s="30">
        <f>IF(G31&lt;&gt;"",G31,IF(OR(H31="",I31=""),"",H31+I31))</f>
        <v/>
      </c>
      <c r="K31" s="28" t="n"/>
      <c r="L31" s="29" t="n"/>
      <c r="M31" s="31">
        <f>IF(OR(B31="",K31=""),"",B31-K31)</f>
        <v/>
      </c>
      <c r="N31" s="29">
        <f>IF(OR(C31="",L31=""),"",C31-L31)</f>
        <v/>
      </c>
      <c r="P31" t="inlineStr">
        <is>
          <t>Bicos Injetores (jogo 4)</t>
        </is>
      </c>
    </row>
    <row r="32" ht="22" customHeight="1">
      <c r="A32" s="22" t="n">
        <v>29</v>
      </c>
      <c r="B32" s="23" t="n"/>
      <c r="C32" s="24" t="n"/>
      <c r="D32" s="22" t="n"/>
      <c r="E32" s="22" t="n"/>
      <c r="F32" s="22" t="n"/>
      <c r="G32" s="25" t="n"/>
      <c r="H32" s="25" t="n"/>
      <c r="I32" s="25" t="n"/>
      <c r="J32" s="25">
        <f>IF(G32&lt;&gt;"",G32,IF(OR(H32="",I32=""),"",H32+I32))</f>
        <v/>
      </c>
      <c r="K32" s="23" t="n"/>
      <c r="L32" s="24" t="n"/>
      <c r="M32" s="26">
        <f>IF(OR(B32="",K32=""),"",B32-K32)</f>
        <v/>
      </c>
      <c r="N32" s="24">
        <f>IF(OR(C32="",L32=""),"",C32-L32)</f>
        <v/>
      </c>
      <c r="P32" t="inlineStr">
        <is>
          <t>Turbina / Turbocompressor</t>
        </is>
      </c>
    </row>
    <row r="33" ht="22" customHeight="1">
      <c r="A33" s="27" t="n">
        <v>30</v>
      </c>
      <c r="B33" s="28" t="n"/>
      <c r="C33" s="29" t="n"/>
      <c r="D33" s="27" t="n"/>
      <c r="E33" s="27" t="n"/>
      <c r="F33" s="27" t="n"/>
      <c r="G33" s="30" t="n"/>
      <c r="H33" s="30" t="n"/>
      <c r="I33" s="30" t="n"/>
      <c r="J33" s="30">
        <f>IF(G33&lt;&gt;"",G33,IF(OR(H33="",I33=""),"",H33+I33))</f>
        <v/>
      </c>
      <c r="K33" s="28" t="n"/>
      <c r="L33" s="29" t="n"/>
      <c r="M33" s="31">
        <f>IF(OR(B33="",K33=""),"",B33-K33)</f>
        <v/>
      </c>
      <c r="N33" s="29">
        <f>IF(OR(C33="",L33=""),"",C33-L33)</f>
        <v/>
      </c>
      <c r="P33" t="inlineStr">
        <is>
          <t>Intercooler</t>
        </is>
      </c>
    </row>
    <row r="34" ht="22" customHeight="1">
      <c r="A34" s="22" t="n">
        <v>31</v>
      </c>
      <c r="B34" s="23" t="n"/>
      <c r="C34" s="24" t="n"/>
      <c r="D34" s="22" t="n"/>
      <c r="E34" s="22" t="n"/>
      <c r="F34" s="22" t="n"/>
      <c r="G34" s="25" t="n"/>
      <c r="H34" s="25" t="n"/>
      <c r="I34" s="25" t="n"/>
      <c r="J34" s="25">
        <f>IF(G34&lt;&gt;"",G34,IF(OR(H34="",I34=""),"",H34+I34))</f>
        <v/>
      </c>
      <c r="K34" s="23" t="n"/>
      <c r="L34" s="24" t="n"/>
      <c r="M34" s="26">
        <f>IF(OR(B34="",K34=""),"",B34-K34)</f>
        <v/>
      </c>
      <c r="N34" s="24">
        <f>IF(OR(C34="",L34=""),"",C34-L34)</f>
        <v/>
      </c>
      <c r="P34" t="inlineStr">
        <is>
          <t>Radiador</t>
        </is>
      </c>
    </row>
    <row r="35" ht="22" customHeight="1">
      <c r="A35" s="27" t="n">
        <v>32</v>
      </c>
      <c r="B35" s="28" t="n"/>
      <c r="C35" s="29" t="n"/>
      <c r="D35" s="27" t="n"/>
      <c r="E35" s="27" t="n"/>
      <c r="F35" s="27" t="n"/>
      <c r="G35" s="30" t="n"/>
      <c r="H35" s="30" t="n"/>
      <c r="I35" s="30" t="n"/>
      <c r="J35" s="30">
        <f>IF(G35&lt;&gt;"",G35,IF(OR(H35="",I35=""),"",H35+I35))</f>
        <v/>
      </c>
      <c r="K35" s="28" t="n"/>
      <c r="L35" s="29" t="n"/>
      <c r="M35" s="31">
        <f>IF(OR(B35="",K35=""),"",B35-K35)</f>
        <v/>
      </c>
      <c r="N35" s="29">
        <f>IF(OR(C35="",L35=""),"",C35-L35)</f>
        <v/>
      </c>
      <c r="P35" t="inlineStr">
        <is>
          <t>Líquido de Arrefecimento</t>
        </is>
      </c>
    </row>
    <row r="36" ht="22" customHeight="1">
      <c r="A36" s="22" t="n">
        <v>33</v>
      </c>
      <c r="B36" s="23" t="n"/>
      <c r="C36" s="24" t="n"/>
      <c r="D36" s="22" t="n"/>
      <c r="E36" s="22" t="n"/>
      <c r="F36" s="22" t="n"/>
      <c r="G36" s="25" t="n"/>
      <c r="H36" s="25" t="n"/>
      <c r="I36" s="25" t="n"/>
      <c r="J36" s="25">
        <f>IF(G36&lt;&gt;"",G36,IF(OR(H36="",I36=""),"",H36+I36))</f>
        <v/>
      </c>
      <c r="K36" s="23" t="n"/>
      <c r="L36" s="24" t="n"/>
      <c r="M36" s="26">
        <f>IF(OR(B36="",K36=""),"",B36-K36)</f>
        <v/>
      </c>
      <c r="N36" s="24">
        <f>IF(OR(C36="",L36=""),"",C36-L36)</f>
        <v/>
      </c>
      <c r="P36" t="inlineStr">
        <is>
          <t>Válvula Termostática</t>
        </is>
      </c>
    </row>
    <row r="37" ht="22" customHeight="1">
      <c r="A37" s="27" t="n">
        <v>34</v>
      </c>
      <c r="B37" s="28" t="n"/>
      <c r="C37" s="29" t="n"/>
      <c r="D37" s="27" t="n"/>
      <c r="E37" s="27" t="n"/>
      <c r="F37" s="27" t="n"/>
      <c r="G37" s="30" t="n"/>
      <c r="H37" s="30" t="n"/>
      <c r="I37" s="30" t="n"/>
      <c r="J37" s="30">
        <f>IF(G37&lt;&gt;"",G37,IF(OR(H37="",I37=""),"",H37+I37))</f>
        <v/>
      </c>
      <c r="K37" s="28" t="n"/>
      <c r="L37" s="29" t="n"/>
      <c r="M37" s="31">
        <f>IF(OR(B37="",K37=""),"",B37-K37)</f>
        <v/>
      </c>
      <c r="N37" s="29">
        <f>IF(OR(C37="",L37=""),"",C37-L37)</f>
        <v/>
      </c>
      <c r="P37" t="inlineStr">
        <is>
          <t>Mangueiras do Radiador (superior/inferior)</t>
        </is>
      </c>
    </row>
    <row r="38" ht="22" customHeight="1">
      <c r="A38" s="22" t="n">
        <v>35</v>
      </c>
      <c r="B38" s="23" t="n"/>
      <c r="C38" s="24" t="n"/>
      <c r="D38" s="22" t="n"/>
      <c r="E38" s="22" t="n"/>
      <c r="F38" s="22" t="n"/>
      <c r="G38" s="25" t="n"/>
      <c r="H38" s="25" t="n"/>
      <c r="I38" s="25" t="n"/>
      <c r="J38" s="25">
        <f>IF(G38&lt;&gt;"",G38,IF(OR(H38="",I38=""),"",H38+I38))</f>
        <v/>
      </c>
      <c r="K38" s="23" t="n"/>
      <c r="L38" s="24" t="n"/>
      <c r="M38" s="26">
        <f>IF(OR(B38="",K38=""),"",B38-K38)</f>
        <v/>
      </c>
      <c r="N38" s="24">
        <f>IF(OR(C38="",L38=""),"",C38-L38)</f>
        <v/>
      </c>
      <c r="P38" t="inlineStr">
        <is>
          <t>Óleo do Câmbio (Manual)</t>
        </is>
      </c>
    </row>
    <row r="39" ht="22" customHeight="1">
      <c r="A39" s="27" t="n">
        <v>36</v>
      </c>
      <c r="B39" s="28" t="n"/>
      <c r="C39" s="29" t="n"/>
      <c r="D39" s="27" t="n"/>
      <c r="E39" s="27" t="n"/>
      <c r="F39" s="27" t="n"/>
      <c r="G39" s="30" t="n"/>
      <c r="H39" s="30" t="n"/>
      <c r="I39" s="30" t="n"/>
      <c r="J39" s="30">
        <f>IF(G39&lt;&gt;"",G39,IF(OR(H39="",I39=""),"",H39+I39))</f>
        <v/>
      </c>
      <c r="K39" s="28" t="n"/>
      <c r="L39" s="29" t="n"/>
      <c r="M39" s="31">
        <f>IF(OR(B39="",K39=""),"",B39-K39)</f>
        <v/>
      </c>
      <c r="N39" s="29">
        <f>IF(OR(C39="",L39=""),"",C39-L39)</f>
        <v/>
      </c>
      <c r="P39" t="inlineStr">
        <is>
          <t>Óleo do Diferencial</t>
        </is>
      </c>
    </row>
    <row r="40" ht="22" customHeight="1">
      <c r="A40" s="22" t="n">
        <v>37</v>
      </c>
      <c r="B40" s="23" t="n"/>
      <c r="C40" s="24" t="n"/>
      <c r="D40" s="22" t="n"/>
      <c r="E40" s="22" t="n"/>
      <c r="F40" s="22" t="n"/>
      <c r="G40" s="25" t="n"/>
      <c r="H40" s="25" t="n"/>
      <c r="I40" s="25" t="n"/>
      <c r="J40" s="25">
        <f>IF(G40&lt;&gt;"",G40,IF(OR(H40="",I40=""),"",H40+I40))</f>
        <v/>
      </c>
      <c r="K40" s="23" t="n"/>
      <c r="L40" s="24" t="n"/>
      <c r="M40" s="26">
        <f>IF(OR(B40="",K40=""),"",B40-K40)</f>
        <v/>
      </c>
      <c r="N40" s="24">
        <f>IF(OR(C40="",L40=""),"",C40-L40)</f>
        <v/>
      </c>
      <c r="P40" t="inlineStr">
        <is>
          <t>Cruzetas do Cardan (jogo)</t>
        </is>
      </c>
    </row>
    <row r="41" ht="22" customHeight="1">
      <c r="A41" s="27" t="n">
        <v>38</v>
      </c>
      <c r="B41" s="28" t="n"/>
      <c r="C41" s="29" t="n"/>
      <c r="D41" s="27" t="n"/>
      <c r="E41" s="27" t="n"/>
      <c r="F41" s="27" t="n"/>
      <c r="G41" s="30" t="n"/>
      <c r="H41" s="30" t="n"/>
      <c r="I41" s="30" t="n"/>
      <c r="J41" s="30">
        <f>IF(G41&lt;&gt;"",G41,IF(OR(H41="",I41=""),"",H41+I41))</f>
        <v/>
      </c>
      <c r="K41" s="28" t="n"/>
      <c r="L41" s="29" t="n"/>
      <c r="M41" s="31">
        <f>IF(OR(B41="",K41=""),"",B41-K41)</f>
        <v/>
      </c>
      <c r="N41" s="29">
        <f>IF(OR(C41="",L41=""),"",C41-L41)</f>
        <v/>
      </c>
      <c r="P41" t="inlineStr">
        <is>
          <t>Rolamento da Roda Dianteira (par)</t>
        </is>
      </c>
    </row>
    <row r="42" ht="22" customHeight="1">
      <c r="A42" s="22" t="n">
        <v>39</v>
      </c>
      <c r="B42" s="23" t="n"/>
      <c r="C42" s="24" t="n"/>
      <c r="D42" s="22" t="n"/>
      <c r="E42" s="22" t="n"/>
      <c r="F42" s="22" t="n"/>
      <c r="G42" s="25" t="n"/>
      <c r="H42" s="25" t="n"/>
      <c r="I42" s="25" t="n"/>
      <c r="J42" s="25">
        <f>IF(G42&lt;&gt;"",G42,IF(OR(H42="",I42=""),"",H42+I42))</f>
        <v/>
      </c>
      <c r="K42" s="23" t="n"/>
      <c r="L42" s="24" t="n"/>
      <c r="M42" s="26">
        <f>IF(OR(B42="",K42=""),"",B42-K42)</f>
        <v/>
      </c>
      <c r="N42" s="24">
        <f>IF(OR(C42="",L42=""),"",C42-L42)</f>
        <v/>
      </c>
      <c r="P42" t="inlineStr">
        <is>
          <t>Rolamento da Roda Traseira (par)</t>
        </is>
      </c>
    </row>
    <row r="43" ht="22" customHeight="1">
      <c r="A43" s="27" t="n">
        <v>40</v>
      </c>
      <c r="B43" s="28" t="n"/>
      <c r="C43" s="29" t="n"/>
      <c r="D43" s="27" t="n"/>
      <c r="E43" s="27" t="n"/>
      <c r="F43" s="27" t="n"/>
      <c r="G43" s="30" t="n"/>
      <c r="H43" s="30" t="n"/>
      <c r="I43" s="30" t="n"/>
      <c r="J43" s="30">
        <f>IF(G43&lt;&gt;"",G43,IF(OR(H43="",I43=""),"",H43+I43))</f>
        <v/>
      </c>
      <c r="K43" s="28" t="n"/>
      <c r="L43" s="29" t="n"/>
      <c r="M43" s="31">
        <f>IF(OR(B43="",K43=""),"",B43-K43)</f>
        <v/>
      </c>
      <c r="N43" s="29">
        <f>IF(OR(C43="",L43=""),"",C43-L43)</f>
        <v/>
      </c>
      <c r="P43" t="inlineStr">
        <is>
          <t>Pneu Dianteiro (par)</t>
        </is>
      </c>
    </row>
    <row r="44" ht="22" customHeight="1">
      <c r="A44" s="22" t="n">
        <v>41</v>
      </c>
      <c r="B44" s="23" t="n"/>
      <c r="C44" s="24" t="n"/>
      <c r="D44" s="22" t="n"/>
      <c r="E44" s="22" t="n"/>
      <c r="F44" s="22" t="n"/>
      <c r="G44" s="25" t="n"/>
      <c r="H44" s="25" t="n"/>
      <c r="I44" s="25" t="n"/>
      <c r="J44" s="25">
        <f>IF(G44&lt;&gt;"",G44,IF(OR(H44="",I44=""),"",H44+I44))</f>
        <v/>
      </c>
      <c r="K44" s="23" t="n"/>
      <c r="L44" s="24" t="n"/>
      <c r="M44" s="26">
        <f>IF(OR(B44="",K44=""),"",B44-K44)</f>
        <v/>
      </c>
      <c r="N44" s="24">
        <f>IF(OR(C44="",L44=""),"",C44-L44)</f>
        <v/>
      </c>
      <c r="P44" t="inlineStr">
        <is>
          <t>Pneu Traseiro (par)</t>
        </is>
      </c>
    </row>
    <row r="45" ht="22" customHeight="1">
      <c r="A45" s="27" t="n">
        <v>42</v>
      </c>
      <c r="B45" s="28" t="n"/>
      <c r="C45" s="29" t="n"/>
      <c r="D45" s="27" t="n"/>
      <c r="E45" s="27" t="n"/>
      <c r="F45" s="27" t="n"/>
      <c r="G45" s="30" t="n"/>
      <c r="H45" s="30" t="n"/>
      <c r="I45" s="30" t="n"/>
      <c r="J45" s="30">
        <f>IF(G45&lt;&gt;"",G45,IF(OR(H45="",I45=""),"",H45+I45))</f>
        <v/>
      </c>
      <c r="K45" s="28" t="n"/>
      <c r="L45" s="29" t="n"/>
      <c r="M45" s="31">
        <f>IF(OR(B45="",K45=""),"",B45-K45)</f>
        <v/>
      </c>
      <c r="N45" s="29">
        <f>IF(OR(C45="",L45=""),"",C45-L45)</f>
        <v/>
      </c>
      <c r="P45" t="inlineStr">
        <is>
          <t>Alinhamento e Balanceamento</t>
        </is>
      </c>
    </row>
    <row r="46" ht="22" customHeight="1">
      <c r="A46" s="22" t="n">
        <v>43</v>
      </c>
      <c r="B46" s="23" t="n"/>
      <c r="C46" s="24" t="n"/>
      <c r="D46" s="22" t="n"/>
      <c r="E46" s="22" t="n"/>
      <c r="F46" s="22" t="n"/>
      <c r="G46" s="25" t="n"/>
      <c r="H46" s="25" t="n"/>
      <c r="I46" s="25" t="n"/>
      <c r="J46" s="25">
        <f>IF(G46&lt;&gt;"",G46,IF(OR(H46="",I46=""),"",H46+I46))</f>
        <v/>
      </c>
      <c r="K46" s="23" t="n"/>
      <c r="L46" s="24" t="n"/>
      <c r="M46" s="26">
        <f>IF(OR(B46="",K46=""),"",B46-K46)</f>
        <v/>
      </c>
      <c r="N46" s="24">
        <f>IF(OR(C46="",L46=""),"",C46-L46)</f>
        <v/>
      </c>
      <c r="P46" t="inlineStr">
        <is>
          <t>Escapamento Completo</t>
        </is>
      </c>
    </row>
    <row r="47" ht="22" customHeight="1">
      <c r="A47" s="27" t="n">
        <v>44</v>
      </c>
      <c r="B47" s="28" t="n"/>
      <c r="C47" s="29" t="n"/>
      <c r="D47" s="27" t="n"/>
      <c r="E47" s="27" t="n"/>
      <c r="F47" s="27" t="n"/>
      <c r="G47" s="30" t="n"/>
      <c r="H47" s="30" t="n"/>
      <c r="I47" s="30" t="n"/>
      <c r="J47" s="30">
        <f>IF(G47&lt;&gt;"",G47,IF(OR(H47="",I47=""),"",H47+I47))</f>
        <v/>
      </c>
      <c r="K47" s="28" t="n"/>
      <c r="L47" s="29" t="n"/>
      <c r="M47" s="31">
        <f>IF(OR(B47="",K47=""),"",B47-K47)</f>
        <v/>
      </c>
      <c r="N47" s="29">
        <f>IF(OR(C47="",L47=""),"",C47-L47)</f>
        <v/>
      </c>
      <c r="P47" t="inlineStr">
        <is>
          <t>Catalisador</t>
        </is>
      </c>
    </row>
    <row r="48" ht="22" customHeight="1">
      <c r="A48" s="22" t="n">
        <v>45</v>
      </c>
      <c r="B48" s="23" t="n"/>
      <c r="C48" s="24" t="n"/>
      <c r="D48" s="22" t="n"/>
      <c r="E48" s="22" t="n"/>
      <c r="F48" s="22" t="n"/>
      <c r="G48" s="25" t="n"/>
      <c r="H48" s="25" t="n"/>
      <c r="I48" s="25" t="n"/>
      <c r="J48" s="25">
        <f>IF(G48&lt;&gt;"",G48,IF(OR(H48="",I48=""),"",H48+I48))</f>
        <v/>
      </c>
      <c r="K48" s="23" t="n"/>
      <c r="L48" s="24" t="n"/>
      <c r="M48" s="26">
        <f>IF(OR(B48="",K48=""),"",B48-K48)</f>
        <v/>
      </c>
      <c r="N48" s="24">
        <f>IF(OR(C48="",L48=""),"",C48-L48)</f>
        <v/>
      </c>
      <c r="P48" t="inlineStr">
        <is>
          <t>Sensor de Temperatura</t>
        </is>
      </c>
    </row>
    <row r="49" ht="22" customHeight="1">
      <c r="A49" s="27" t="n">
        <v>46</v>
      </c>
      <c r="B49" s="28" t="n"/>
      <c r="C49" s="29" t="n"/>
      <c r="D49" s="27" t="n"/>
      <c r="E49" s="27" t="n"/>
      <c r="F49" s="27" t="n"/>
      <c r="G49" s="30" t="n"/>
      <c r="H49" s="30" t="n"/>
      <c r="I49" s="30" t="n"/>
      <c r="J49" s="30">
        <f>IF(G49&lt;&gt;"",G49,IF(OR(H49="",I49=""),"",H49+I49))</f>
        <v/>
      </c>
      <c r="K49" s="28" t="n"/>
      <c r="L49" s="29" t="n"/>
      <c r="M49" s="31">
        <f>IF(OR(B49="",K49=""),"",B49-K49)</f>
        <v/>
      </c>
      <c r="N49" s="29">
        <f>IF(OR(C49="",L49=""),"",C49-L49)</f>
        <v/>
      </c>
      <c r="P49" t="inlineStr">
        <is>
          <t>Sensor de Pressão do Óleo</t>
        </is>
      </c>
    </row>
    <row r="50" ht="22" customHeight="1">
      <c r="A50" s="22" t="n">
        <v>47</v>
      </c>
      <c r="B50" s="23" t="n"/>
      <c r="C50" s="24" t="n"/>
      <c r="D50" s="22" t="n"/>
      <c r="E50" s="22" t="n"/>
      <c r="F50" s="22" t="n"/>
      <c r="G50" s="25" t="n"/>
      <c r="H50" s="25" t="n"/>
      <c r="I50" s="25" t="n"/>
      <c r="J50" s="25">
        <f>IF(G50&lt;&gt;"",G50,IF(OR(H50="",I50=""),"",H50+I50))</f>
        <v/>
      </c>
      <c r="K50" s="23" t="n"/>
      <c r="L50" s="24" t="n"/>
      <c r="M50" s="26">
        <f>IF(OR(B50="",K50=""),"",B50-K50)</f>
        <v/>
      </c>
      <c r="N50" s="24">
        <f>IF(OR(C50="",L50=""),"",C50-L50)</f>
        <v/>
      </c>
      <c r="P50" t="inlineStr">
        <is>
          <t>Junta do Cabeçote</t>
        </is>
      </c>
    </row>
    <row r="51" ht="22" customHeight="1">
      <c r="A51" s="27" t="n">
        <v>48</v>
      </c>
      <c r="B51" s="28" t="n"/>
      <c r="C51" s="29" t="n"/>
      <c r="D51" s="27" t="n"/>
      <c r="E51" s="27" t="n"/>
      <c r="F51" s="27" t="n"/>
      <c r="G51" s="30" t="n"/>
      <c r="H51" s="30" t="n"/>
      <c r="I51" s="30" t="n"/>
      <c r="J51" s="30">
        <f>IF(G51&lt;&gt;"",G51,IF(OR(H51="",I51=""),"",H51+I51))</f>
        <v/>
      </c>
      <c r="K51" s="28" t="n"/>
      <c r="L51" s="29" t="n"/>
      <c r="M51" s="31">
        <f>IF(OR(B51="",K51=""),"",B51-K51)</f>
        <v/>
      </c>
      <c r="N51" s="29">
        <f>IF(OR(C51="",L51=""),"",C51-L51)</f>
        <v/>
      </c>
    </row>
    <row r="52" ht="22" customHeight="1">
      <c r="A52" s="22" t="n">
        <v>49</v>
      </c>
      <c r="B52" s="23" t="n"/>
      <c r="C52" s="24" t="n"/>
      <c r="D52" s="22" t="n"/>
      <c r="E52" s="22" t="n"/>
      <c r="F52" s="22" t="n"/>
      <c r="G52" s="25" t="n"/>
      <c r="H52" s="25" t="n"/>
      <c r="I52" s="25" t="n"/>
      <c r="J52" s="25">
        <f>IF(G52&lt;&gt;"",G52,IF(OR(H52="",I52=""),"",H52+I52))</f>
        <v/>
      </c>
      <c r="K52" s="23" t="n"/>
      <c r="L52" s="24" t="n"/>
      <c r="M52" s="26">
        <f>IF(OR(B52="",K52=""),"",B52-K52)</f>
        <v/>
      </c>
      <c r="N52" s="24">
        <f>IF(OR(C52="",L52=""),"",C52-L52)</f>
        <v/>
      </c>
    </row>
    <row r="53" ht="22" customHeight="1">
      <c r="A53" s="27" t="n">
        <v>50</v>
      </c>
      <c r="B53" s="28" t="n"/>
      <c r="C53" s="29" t="n"/>
      <c r="D53" s="27" t="n"/>
      <c r="E53" s="27" t="n"/>
      <c r="F53" s="27" t="n"/>
      <c r="G53" s="30" t="n"/>
      <c r="H53" s="30" t="n"/>
      <c r="I53" s="30" t="n"/>
      <c r="J53" s="30">
        <f>IF(G53&lt;&gt;"",G53,IF(OR(H53="",I53=""),"",H53+I53))</f>
        <v/>
      </c>
      <c r="K53" s="28" t="n"/>
      <c r="L53" s="29" t="n"/>
      <c r="M53" s="31">
        <f>IF(OR(B53="",K53=""),"",B53-K53)</f>
        <v/>
      </c>
      <c r="N53" s="29">
        <f>IF(OR(C53="",L53=""),"",C53-L53)</f>
        <v/>
      </c>
    </row>
    <row r="54" ht="22" customHeight="1">
      <c r="A54" s="22" t="n">
        <v>51</v>
      </c>
      <c r="B54" s="23" t="n"/>
      <c r="C54" s="24" t="n"/>
      <c r="D54" s="22" t="n"/>
      <c r="E54" s="22" t="n"/>
      <c r="F54" s="22" t="n"/>
      <c r="G54" s="25" t="n"/>
      <c r="H54" s="25" t="n"/>
      <c r="I54" s="25" t="n"/>
      <c r="J54" s="25">
        <f>IF(G54&lt;&gt;"",G54,IF(OR(H54="",I54=""),"",H54+I54))</f>
        <v/>
      </c>
      <c r="K54" s="23" t="n"/>
      <c r="L54" s="24" t="n"/>
      <c r="M54" s="26">
        <f>IF(OR(B54="",K54=""),"",B54-K54)</f>
        <v/>
      </c>
      <c r="N54" s="24">
        <f>IF(OR(C54="",L54=""),"",C54-L54)</f>
        <v/>
      </c>
    </row>
    <row r="55" ht="22" customHeight="1">
      <c r="A55" s="27" t="n">
        <v>52</v>
      </c>
      <c r="B55" s="28" t="n"/>
      <c r="C55" s="29" t="n"/>
      <c r="D55" s="27" t="n"/>
      <c r="E55" s="27" t="n"/>
      <c r="F55" s="27" t="n"/>
      <c r="G55" s="30" t="n"/>
      <c r="H55" s="30" t="n"/>
      <c r="I55" s="30" t="n"/>
      <c r="J55" s="30">
        <f>IF(G55&lt;&gt;"",G55,IF(OR(H55="",I55=""),"",H55+I55))</f>
        <v/>
      </c>
      <c r="K55" s="28" t="n"/>
      <c r="L55" s="29" t="n"/>
      <c r="M55" s="31">
        <f>IF(OR(B55="",K55=""),"",B55-K55)</f>
        <v/>
      </c>
      <c r="N55" s="29">
        <f>IF(OR(C55="",L55=""),"",C55-L55)</f>
        <v/>
      </c>
    </row>
    <row r="56" ht="22" customHeight="1">
      <c r="A56" s="22" t="n">
        <v>53</v>
      </c>
      <c r="B56" s="23" t="n"/>
      <c r="C56" s="24" t="n"/>
      <c r="D56" s="22" t="n"/>
      <c r="E56" s="22" t="n"/>
      <c r="F56" s="22" t="n"/>
      <c r="G56" s="25" t="n"/>
      <c r="H56" s="25" t="n"/>
      <c r="I56" s="25" t="n"/>
      <c r="J56" s="25">
        <f>IF(G56&lt;&gt;"",G56,IF(OR(H56="",I56=""),"",H56+I56))</f>
        <v/>
      </c>
      <c r="K56" s="23" t="n"/>
      <c r="L56" s="24" t="n"/>
      <c r="M56" s="26">
        <f>IF(OR(B56="",K56=""),"",B56-K56)</f>
        <v/>
      </c>
      <c r="N56" s="24">
        <f>IF(OR(C56="",L56=""),"",C56-L56)</f>
        <v/>
      </c>
    </row>
    <row r="57" ht="22" customHeight="1">
      <c r="A57" s="27" t="n">
        <v>54</v>
      </c>
      <c r="B57" s="28" t="n"/>
      <c r="C57" s="29" t="n"/>
      <c r="D57" s="27" t="n"/>
      <c r="E57" s="27" t="n"/>
      <c r="F57" s="27" t="n"/>
      <c r="G57" s="30" t="n"/>
      <c r="H57" s="30" t="n"/>
      <c r="I57" s="30" t="n"/>
      <c r="J57" s="30">
        <f>IF(G57&lt;&gt;"",G57,IF(OR(H57="",I57=""),"",H57+I57))</f>
        <v/>
      </c>
      <c r="K57" s="28" t="n"/>
      <c r="L57" s="29" t="n"/>
      <c r="M57" s="31">
        <f>IF(OR(B57="",K57=""),"",B57-K57)</f>
        <v/>
      </c>
      <c r="N57" s="29">
        <f>IF(OR(C57="",L57=""),"",C57-L57)</f>
        <v/>
      </c>
    </row>
    <row r="58" ht="22" customHeight="1">
      <c r="A58" s="22" t="n">
        <v>55</v>
      </c>
      <c r="B58" s="23" t="n"/>
      <c r="C58" s="24" t="n"/>
      <c r="D58" s="22" t="n"/>
      <c r="E58" s="22" t="n"/>
      <c r="F58" s="22" t="n"/>
      <c r="G58" s="25" t="n"/>
      <c r="H58" s="25" t="n"/>
      <c r="I58" s="25" t="n"/>
      <c r="J58" s="25">
        <f>IF(G58&lt;&gt;"",G58,IF(OR(H58="",I58=""),"",H58+I58))</f>
        <v/>
      </c>
      <c r="K58" s="23" t="n"/>
      <c r="L58" s="24" t="n"/>
      <c r="M58" s="26">
        <f>IF(OR(B58="",K58=""),"",B58-K58)</f>
        <v/>
      </c>
      <c r="N58" s="24">
        <f>IF(OR(C58="",L58=""),"",C58-L58)</f>
        <v/>
      </c>
    </row>
    <row r="59" ht="22" customHeight="1">
      <c r="A59" s="27" t="n">
        <v>56</v>
      </c>
      <c r="B59" s="28" t="n"/>
      <c r="C59" s="29" t="n"/>
      <c r="D59" s="27" t="n"/>
      <c r="E59" s="27" t="n"/>
      <c r="F59" s="27" t="n"/>
      <c r="G59" s="30" t="n"/>
      <c r="H59" s="30" t="n"/>
      <c r="I59" s="30" t="n"/>
      <c r="J59" s="30">
        <f>IF(G59&lt;&gt;"",G59,IF(OR(H59="",I59=""),"",H59+I59))</f>
        <v/>
      </c>
      <c r="K59" s="28" t="n"/>
      <c r="L59" s="29" t="n"/>
      <c r="M59" s="31">
        <f>IF(OR(B59="",K59=""),"",B59-K59)</f>
        <v/>
      </c>
      <c r="N59" s="29">
        <f>IF(OR(C59="",L59=""),"",C59-L59)</f>
        <v/>
      </c>
    </row>
    <row r="60" ht="22" customHeight="1">
      <c r="A60" s="22" t="n">
        <v>57</v>
      </c>
      <c r="B60" s="23" t="n"/>
      <c r="C60" s="24" t="n"/>
      <c r="D60" s="22" t="n"/>
      <c r="E60" s="22" t="n"/>
      <c r="F60" s="22" t="n"/>
      <c r="G60" s="25" t="n"/>
      <c r="H60" s="25" t="n"/>
      <c r="I60" s="25" t="n"/>
      <c r="J60" s="25">
        <f>IF(G60&lt;&gt;"",G60,IF(OR(H60="",I60=""),"",H60+I60))</f>
        <v/>
      </c>
      <c r="K60" s="23" t="n"/>
      <c r="L60" s="24" t="n"/>
      <c r="M60" s="26">
        <f>IF(OR(B60="",K60=""),"",B60-K60)</f>
        <v/>
      </c>
      <c r="N60" s="24">
        <f>IF(OR(C60="",L60=""),"",C60-L60)</f>
        <v/>
      </c>
    </row>
    <row r="61" ht="22" customHeight="1">
      <c r="A61" s="27" t="n">
        <v>58</v>
      </c>
      <c r="B61" s="28" t="n"/>
      <c r="C61" s="29" t="n"/>
      <c r="D61" s="27" t="n"/>
      <c r="E61" s="27" t="n"/>
      <c r="F61" s="27" t="n"/>
      <c r="G61" s="30" t="n"/>
      <c r="H61" s="30" t="n"/>
      <c r="I61" s="30" t="n"/>
      <c r="J61" s="30">
        <f>IF(G61&lt;&gt;"",G61,IF(OR(H61="",I61=""),"",H61+I61))</f>
        <v/>
      </c>
      <c r="K61" s="28" t="n"/>
      <c r="L61" s="29" t="n"/>
      <c r="M61" s="31">
        <f>IF(OR(B61="",K61=""),"",B61-K61)</f>
        <v/>
      </c>
      <c r="N61" s="29">
        <f>IF(OR(C61="",L61=""),"",C61-L61)</f>
        <v/>
      </c>
    </row>
    <row r="62" ht="22" customHeight="1">
      <c r="A62" s="22" t="n">
        <v>59</v>
      </c>
      <c r="B62" s="23" t="n"/>
      <c r="C62" s="24" t="n"/>
      <c r="D62" s="22" t="n"/>
      <c r="E62" s="22" t="n"/>
      <c r="F62" s="22" t="n"/>
      <c r="G62" s="25" t="n"/>
      <c r="H62" s="25" t="n"/>
      <c r="I62" s="25" t="n"/>
      <c r="J62" s="25">
        <f>IF(G62&lt;&gt;"",G62,IF(OR(H62="",I62=""),"",H62+I62))</f>
        <v/>
      </c>
      <c r="K62" s="23" t="n"/>
      <c r="L62" s="24" t="n"/>
      <c r="M62" s="26">
        <f>IF(OR(B62="",K62=""),"",B62-K62)</f>
        <v/>
      </c>
      <c r="N62" s="24">
        <f>IF(OR(C62="",L62=""),"",C62-L62)</f>
        <v/>
      </c>
    </row>
    <row r="63" ht="22" customHeight="1">
      <c r="A63" s="27" t="n">
        <v>60</v>
      </c>
      <c r="B63" s="28" t="n"/>
      <c r="C63" s="29" t="n"/>
      <c r="D63" s="27" t="n"/>
      <c r="E63" s="27" t="n"/>
      <c r="F63" s="27" t="n"/>
      <c r="G63" s="30" t="n"/>
      <c r="H63" s="30" t="n"/>
      <c r="I63" s="30" t="n"/>
      <c r="J63" s="30">
        <f>IF(G63&lt;&gt;"",G63,IF(OR(H63="",I63=""),"",H63+I63))</f>
        <v/>
      </c>
      <c r="K63" s="28" t="n"/>
      <c r="L63" s="29" t="n"/>
      <c r="M63" s="31">
        <f>IF(OR(B63="",K63=""),"",B63-K63)</f>
        <v/>
      </c>
      <c r="N63" s="29">
        <f>IF(OR(C63="",L63=""),"",C63-L63)</f>
        <v/>
      </c>
    </row>
    <row r="64" ht="22" customHeight="1">
      <c r="A64" s="22" t="n">
        <v>61</v>
      </c>
      <c r="B64" s="23" t="n"/>
      <c r="C64" s="24" t="n"/>
      <c r="D64" s="22" t="n"/>
      <c r="E64" s="22" t="n"/>
      <c r="F64" s="22" t="n"/>
      <c r="G64" s="25" t="n"/>
      <c r="H64" s="25" t="n"/>
      <c r="I64" s="25" t="n"/>
      <c r="J64" s="25">
        <f>IF(G64&lt;&gt;"",G64,IF(OR(H64="",I64=""),"",H64+I64))</f>
        <v/>
      </c>
      <c r="K64" s="23" t="n"/>
      <c r="L64" s="24" t="n"/>
      <c r="M64" s="26">
        <f>IF(OR(B64="",K64=""),"",B64-K64)</f>
        <v/>
      </c>
      <c r="N64" s="24">
        <f>IF(OR(C64="",L64=""),"",C64-L64)</f>
        <v/>
      </c>
    </row>
    <row r="65" ht="22" customHeight="1">
      <c r="A65" s="27" t="n">
        <v>62</v>
      </c>
      <c r="B65" s="28" t="n"/>
      <c r="C65" s="29" t="n"/>
      <c r="D65" s="27" t="n"/>
      <c r="E65" s="27" t="n"/>
      <c r="F65" s="27" t="n"/>
      <c r="G65" s="30" t="n"/>
      <c r="H65" s="30" t="n"/>
      <c r="I65" s="30" t="n"/>
      <c r="J65" s="30">
        <f>IF(G65&lt;&gt;"",G65,IF(OR(H65="",I65=""),"",H65+I65))</f>
        <v/>
      </c>
      <c r="K65" s="28" t="n"/>
      <c r="L65" s="29" t="n"/>
      <c r="M65" s="31">
        <f>IF(OR(B65="",K65=""),"",B65-K65)</f>
        <v/>
      </c>
      <c r="N65" s="29">
        <f>IF(OR(C65="",L65=""),"",C65-L65)</f>
        <v/>
      </c>
    </row>
    <row r="66" ht="22" customHeight="1">
      <c r="A66" s="22" t="n">
        <v>63</v>
      </c>
      <c r="B66" s="23" t="n"/>
      <c r="C66" s="24" t="n"/>
      <c r="D66" s="22" t="n"/>
      <c r="E66" s="22" t="n"/>
      <c r="F66" s="22" t="n"/>
      <c r="G66" s="25" t="n"/>
      <c r="H66" s="25" t="n"/>
      <c r="I66" s="25" t="n"/>
      <c r="J66" s="25">
        <f>IF(G66&lt;&gt;"",G66,IF(OR(H66="",I66=""),"",H66+I66))</f>
        <v/>
      </c>
      <c r="K66" s="23" t="n"/>
      <c r="L66" s="24" t="n"/>
      <c r="M66" s="26">
        <f>IF(OR(B66="",K66=""),"",B66-K66)</f>
        <v/>
      </c>
      <c r="N66" s="24">
        <f>IF(OR(C66="",L66=""),"",C66-L66)</f>
        <v/>
      </c>
    </row>
    <row r="67" ht="22" customHeight="1">
      <c r="A67" s="27" t="n">
        <v>64</v>
      </c>
      <c r="B67" s="28" t="n"/>
      <c r="C67" s="29" t="n"/>
      <c r="D67" s="27" t="n"/>
      <c r="E67" s="27" t="n"/>
      <c r="F67" s="27" t="n"/>
      <c r="G67" s="30" t="n"/>
      <c r="H67" s="30" t="n"/>
      <c r="I67" s="30" t="n"/>
      <c r="J67" s="30">
        <f>IF(G67&lt;&gt;"",G67,IF(OR(H67="",I67=""),"",H67+I67))</f>
        <v/>
      </c>
      <c r="K67" s="28" t="n"/>
      <c r="L67" s="29" t="n"/>
      <c r="M67" s="31">
        <f>IF(OR(B67="",K67=""),"",B67-K67)</f>
        <v/>
      </c>
      <c r="N67" s="29">
        <f>IF(OR(C67="",L67=""),"",C67-L67)</f>
        <v/>
      </c>
    </row>
    <row r="68" ht="22" customHeight="1">
      <c r="A68" s="22" t="n">
        <v>65</v>
      </c>
      <c r="B68" s="23" t="n"/>
      <c r="C68" s="24" t="n"/>
      <c r="D68" s="22" t="n"/>
      <c r="E68" s="22" t="n"/>
      <c r="F68" s="22" t="n"/>
      <c r="G68" s="25" t="n"/>
      <c r="H68" s="25" t="n"/>
      <c r="I68" s="25" t="n"/>
      <c r="J68" s="25">
        <f>IF(G68&lt;&gt;"",G68,IF(OR(H68="",I68=""),"",H68+I68))</f>
        <v/>
      </c>
      <c r="K68" s="23" t="n"/>
      <c r="L68" s="24" t="n"/>
      <c r="M68" s="26">
        <f>IF(OR(B68="",K68=""),"",B68-K68)</f>
        <v/>
      </c>
      <c r="N68" s="24">
        <f>IF(OR(C68="",L68=""),"",C68-L68)</f>
        <v/>
      </c>
    </row>
    <row r="69" ht="22" customHeight="1">
      <c r="A69" s="27" t="n">
        <v>66</v>
      </c>
      <c r="B69" s="28" t="n"/>
      <c r="C69" s="29" t="n"/>
      <c r="D69" s="27" t="n"/>
      <c r="E69" s="27" t="n"/>
      <c r="F69" s="27" t="n"/>
      <c r="G69" s="30" t="n"/>
      <c r="H69" s="30" t="n"/>
      <c r="I69" s="30" t="n"/>
      <c r="J69" s="30">
        <f>IF(G69&lt;&gt;"",G69,IF(OR(H69="",I69=""),"",H69+I69))</f>
        <v/>
      </c>
      <c r="K69" s="28" t="n"/>
      <c r="L69" s="29" t="n"/>
      <c r="M69" s="31">
        <f>IF(OR(B69="",K69=""),"",B69-K69)</f>
        <v/>
      </c>
      <c r="N69" s="29">
        <f>IF(OR(C69="",L69=""),"",C69-L69)</f>
        <v/>
      </c>
    </row>
    <row r="70" ht="22" customHeight="1">
      <c r="A70" s="22" t="n">
        <v>67</v>
      </c>
      <c r="B70" s="23" t="n"/>
      <c r="C70" s="24" t="n"/>
      <c r="D70" s="22" t="n"/>
      <c r="E70" s="22" t="n"/>
      <c r="F70" s="22" t="n"/>
      <c r="G70" s="25" t="n"/>
      <c r="H70" s="25" t="n"/>
      <c r="I70" s="25" t="n"/>
      <c r="J70" s="25">
        <f>IF(G70&lt;&gt;"",G70,IF(OR(H70="",I70=""),"",H70+I70))</f>
        <v/>
      </c>
      <c r="K70" s="23" t="n"/>
      <c r="L70" s="24" t="n"/>
      <c r="M70" s="26">
        <f>IF(OR(B70="",K70=""),"",B70-K70)</f>
        <v/>
      </c>
      <c r="N70" s="24">
        <f>IF(OR(C70="",L70=""),"",C70-L70)</f>
        <v/>
      </c>
    </row>
    <row r="71" ht="22" customHeight="1">
      <c r="A71" s="27" t="n">
        <v>68</v>
      </c>
      <c r="B71" s="28" t="n"/>
      <c r="C71" s="29" t="n"/>
      <c r="D71" s="27" t="n"/>
      <c r="E71" s="27" t="n"/>
      <c r="F71" s="27" t="n"/>
      <c r="G71" s="30" t="n"/>
      <c r="H71" s="30" t="n"/>
      <c r="I71" s="30" t="n"/>
      <c r="J71" s="30">
        <f>IF(G71&lt;&gt;"",G71,IF(OR(H71="",I71=""),"",H71+I71))</f>
        <v/>
      </c>
      <c r="K71" s="28" t="n"/>
      <c r="L71" s="29" t="n"/>
      <c r="M71" s="31">
        <f>IF(OR(B71="",K71=""),"",B71-K71)</f>
        <v/>
      </c>
      <c r="N71" s="29">
        <f>IF(OR(C71="",L71=""),"",C71-L71)</f>
        <v/>
      </c>
    </row>
    <row r="72" ht="22" customHeight="1">
      <c r="A72" s="22" t="n">
        <v>69</v>
      </c>
      <c r="B72" s="23" t="n"/>
      <c r="C72" s="24" t="n"/>
      <c r="D72" s="22" t="n"/>
      <c r="E72" s="22" t="n"/>
      <c r="F72" s="22" t="n"/>
      <c r="G72" s="25" t="n"/>
      <c r="H72" s="25" t="n"/>
      <c r="I72" s="25" t="n"/>
      <c r="J72" s="25">
        <f>IF(G72&lt;&gt;"",G72,IF(OR(H72="",I72=""),"",H72+I72))</f>
        <v/>
      </c>
      <c r="K72" s="23" t="n"/>
      <c r="L72" s="24" t="n"/>
      <c r="M72" s="26">
        <f>IF(OR(B72="",K72=""),"",B72-K72)</f>
        <v/>
      </c>
      <c r="N72" s="24">
        <f>IF(OR(C72="",L72=""),"",C72-L72)</f>
        <v/>
      </c>
    </row>
    <row r="73" ht="22" customHeight="1">
      <c r="A73" s="27" t="n">
        <v>70</v>
      </c>
      <c r="B73" s="28" t="n"/>
      <c r="C73" s="29" t="n"/>
      <c r="D73" s="27" t="n"/>
      <c r="E73" s="27" t="n"/>
      <c r="F73" s="27" t="n"/>
      <c r="G73" s="30" t="n"/>
      <c r="H73" s="30" t="n"/>
      <c r="I73" s="30" t="n"/>
      <c r="J73" s="30">
        <f>IF(G73&lt;&gt;"",G73,IF(OR(H73="",I73=""),"",H73+I73))</f>
        <v/>
      </c>
      <c r="K73" s="28" t="n"/>
      <c r="L73" s="29" t="n"/>
      <c r="M73" s="31">
        <f>IF(OR(B73="",K73=""),"",B73-K73)</f>
        <v/>
      </c>
      <c r="N73" s="29">
        <f>IF(OR(C73="",L73=""),"",C73-L73)</f>
        <v/>
      </c>
    </row>
    <row r="74" ht="22" customHeight="1">
      <c r="A74" s="22" t="n">
        <v>71</v>
      </c>
      <c r="B74" s="23" t="n"/>
      <c r="C74" s="24" t="n"/>
      <c r="D74" s="22" t="n"/>
      <c r="E74" s="22" t="n"/>
      <c r="F74" s="22" t="n"/>
      <c r="G74" s="25" t="n"/>
      <c r="H74" s="25" t="n"/>
      <c r="I74" s="25" t="n"/>
      <c r="J74" s="25">
        <f>IF(G74&lt;&gt;"",G74,IF(OR(H74="",I74=""),"",H74+I74))</f>
        <v/>
      </c>
      <c r="K74" s="23" t="n"/>
      <c r="L74" s="24" t="n"/>
      <c r="M74" s="26">
        <f>IF(OR(B74="",K74=""),"",B74-K74)</f>
        <v/>
      </c>
      <c r="N74" s="24">
        <f>IF(OR(C74="",L74=""),"",C74-L74)</f>
        <v/>
      </c>
    </row>
    <row r="75" ht="22" customHeight="1">
      <c r="A75" s="27" t="n">
        <v>72</v>
      </c>
      <c r="B75" s="28" t="n"/>
      <c r="C75" s="29" t="n"/>
      <c r="D75" s="27" t="n"/>
      <c r="E75" s="27" t="n"/>
      <c r="F75" s="27" t="n"/>
      <c r="G75" s="30" t="n"/>
      <c r="H75" s="30" t="n"/>
      <c r="I75" s="30" t="n"/>
      <c r="J75" s="30">
        <f>IF(G75&lt;&gt;"",G75,IF(OR(H75="",I75=""),"",H75+I75))</f>
        <v/>
      </c>
      <c r="K75" s="28" t="n"/>
      <c r="L75" s="29" t="n"/>
      <c r="M75" s="31">
        <f>IF(OR(B75="",K75=""),"",B75-K75)</f>
        <v/>
      </c>
      <c r="N75" s="29">
        <f>IF(OR(C75="",L75=""),"",C75-L75)</f>
        <v/>
      </c>
    </row>
    <row r="76" ht="22" customHeight="1">
      <c r="A76" s="22" t="n">
        <v>73</v>
      </c>
      <c r="B76" s="23" t="n"/>
      <c r="C76" s="24" t="n"/>
      <c r="D76" s="22" t="n"/>
      <c r="E76" s="22" t="n"/>
      <c r="F76" s="22" t="n"/>
      <c r="G76" s="25" t="n"/>
      <c r="H76" s="25" t="n"/>
      <c r="I76" s="25" t="n"/>
      <c r="J76" s="25">
        <f>IF(G76&lt;&gt;"",G76,IF(OR(H76="",I76=""),"",H76+I76))</f>
        <v/>
      </c>
      <c r="K76" s="23" t="n"/>
      <c r="L76" s="24" t="n"/>
      <c r="M76" s="26">
        <f>IF(OR(B76="",K76=""),"",B76-K76)</f>
        <v/>
      </c>
      <c r="N76" s="24">
        <f>IF(OR(C76="",L76=""),"",C76-L76)</f>
        <v/>
      </c>
    </row>
    <row r="77" ht="22" customHeight="1">
      <c r="A77" s="27" t="n">
        <v>74</v>
      </c>
      <c r="B77" s="28" t="n"/>
      <c r="C77" s="29" t="n"/>
      <c r="D77" s="27" t="n"/>
      <c r="E77" s="27" t="n"/>
      <c r="F77" s="27" t="n"/>
      <c r="G77" s="30" t="n"/>
      <c r="H77" s="30" t="n"/>
      <c r="I77" s="30" t="n"/>
      <c r="J77" s="30">
        <f>IF(G77&lt;&gt;"",G77,IF(OR(H77="",I77=""),"",H77+I77))</f>
        <v/>
      </c>
      <c r="K77" s="28" t="n"/>
      <c r="L77" s="29" t="n"/>
      <c r="M77" s="31">
        <f>IF(OR(B77="",K77=""),"",B77-K77)</f>
        <v/>
      </c>
      <c r="N77" s="29">
        <f>IF(OR(C77="",L77=""),"",C77-L77)</f>
        <v/>
      </c>
    </row>
    <row r="78" ht="22" customHeight="1">
      <c r="A78" s="22" t="n">
        <v>75</v>
      </c>
      <c r="B78" s="23" t="n"/>
      <c r="C78" s="24" t="n"/>
      <c r="D78" s="22" t="n"/>
      <c r="E78" s="22" t="n"/>
      <c r="F78" s="22" t="n"/>
      <c r="G78" s="25" t="n"/>
      <c r="H78" s="25" t="n"/>
      <c r="I78" s="25" t="n"/>
      <c r="J78" s="25">
        <f>IF(G78&lt;&gt;"",G78,IF(OR(H78="",I78=""),"",H78+I78))</f>
        <v/>
      </c>
      <c r="K78" s="23" t="n"/>
      <c r="L78" s="24" t="n"/>
      <c r="M78" s="26">
        <f>IF(OR(B78="",K78=""),"",B78-K78)</f>
        <v/>
      </c>
      <c r="N78" s="24">
        <f>IF(OR(C78="",L78=""),"",C78-L78)</f>
        <v/>
      </c>
    </row>
    <row r="79" ht="22" customHeight="1">
      <c r="A79" s="27" t="n">
        <v>76</v>
      </c>
      <c r="B79" s="28" t="n"/>
      <c r="C79" s="29" t="n"/>
      <c r="D79" s="27" t="n"/>
      <c r="E79" s="27" t="n"/>
      <c r="F79" s="27" t="n"/>
      <c r="G79" s="30" t="n"/>
      <c r="H79" s="30" t="n"/>
      <c r="I79" s="30" t="n"/>
      <c r="J79" s="30">
        <f>IF(G79&lt;&gt;"",G79,IF(OR(H79="",I79=""),"",H79+I79))</f>
        <v/>
      </c>
      <c r="K79" s="28" t="n"/>
      <c r="L79" s="29" t="n"/>
      <c r="M79" s="31">
        <f>IF(OR(B79="",K79=""),"",B79-K79)</f>
        <v/>
      </c>
      <c r="N79" s="29">
        <f>IF(OR(C79="",L79=""),"",C79-L79)</f>
        <v/>
      </c>
    </row>
    <row r="80" ht="22" customHeight="1">
      <c r="A80" s="22" t="n">
        <v>77</v>
      </c>
      <c r="B80" s="23" t="n"/>
      <c r="C80" s="24" t="n"/>
      <c r="D80" s="22" t="n"/>
      <c r="E80" s="22" t="n"/>
      <c r="F80" s="22" t="n"/>
      <c r="G80" s="25" t="n"/>
      <c r="H80" s="25" t="n"/>
      <c r="I80" s="25" t="n"/>
      <c r="J80" s="25">
        <f>IF(G80&lt;&gt;"",G80,IF(OR(H80="",I80=""),"",H80+I80))</f>
        <v/>
      </c>
      <c r="K80" s="23" t="n"/>
      <c r="L80" s="24" t="n"/>
      <c r="M80" s="26">
        <f>IF(OR(B80="",K80=""),"",B80-K80)</f>
        <v/>
      </c>
      <c r="N80" s="24">
        <f>IF(OR(C80="",L80=""),"",C80-L80)</f>
        <v/>
      </c>
    </row>
    <row r="81" ht="22" customHeight="1">
      <c r="A81" s="27" t="n">
        <v>78</v>
      </c>
      <c r="B81" s="28" t="n"/>
      <c r="C81" s="29" t="n"/>
      <c r="D81" s="27" t="n"/>
      <c r="E81" s="27" t="n"/>
      <c r="F81" s="27" t="n"/>
      <c r="G81" s="30" t="n"/>
      <c r="H81" s="30" t="n"/>
      <c r="I81" s="30" t="n"/>
      <c r="J81" s="30">
        <f>IF(G81&lt;&gt;"",G81,IF(OR(H81="",I81=""),"",H81+I81))</f>
        <v/>
      </c>
      <c r="K81" s="28" t="n"/>
      <c r="L81" s="29" t="n"/>
      <c r="M81" s="31">
        <f>IF(OR(B81="",K81=""),"",B81-K81)</f>
        <v/>
      </c>
      <c r="N81" s="29">
        <f>IF(OR(C81="",L81=""),"",C81-L81)</f>
        <v/>
      </c>
    </row>
    <row r="82" ht="22" customHeight="1">
      <c r="A82" s="22" t="n">
        <v>79</v>
      </c>
      <c r="B82" s="23" t="n"/>
      <c r="C82" s="24" t="n"/>
      <c r="D82" s="22" t="n"/>
      <c r="E82" s="22" t="n"/>
      <c r="F82" s="22" t="n"/>
      <c r="G82" s="25" t="n"/>
      <c r="H82" s="25" t="n"/>
      <c r="I82" s="25" t="n"/>
      <c r="J82" s="25">
        <f>IF(G82&lt;&gt;"",G82,IF(OR(H82="",I82=""),"",H82+I82))</f>
        <v/>
      </c>
      <c r="K82" s="23" t="n"/>
      <c r="L82" s="24" t="n"/>
      <c r="M82" s="26">
        <f>IF(OR(B82="",K82=""),"",B82-K82)</f>
        <v/>
      </c>
      <c r="N82" s="24">
        <f>IF(OR(C82="",L82=""),"",C82-L82)</f>
        <v/>
      </c>
    </row>
    <row r="83" ht="22" customHeight="1">
      <c r="A83" s="27" t="n">
        <v>80</v>
      </c>
      <c r="B83" s="28" t="n"/>
      <c r="C83" s="29" t="n"/>
      <c r="D83" s="27" t="n"/>
      <c r="E83" s="27" t="n"/>
      <c r="F83" s="27" t="n"/>
      <c r="G83" s="30" t="n"/>
      <c r="H83" s="30" t="n"/>
      <c r="I83" s="30" t="n"/>
      <c r="J83" s="30">
        <f>IF(G83&lt;&gt;"",G83,IF(OR(H83="",I83=""),"",H83+I83))</f>
        <v/>
      </c>
      <c r="K83" s="28" t="n"/>
      <c r="L83" s="29" t="n"/>
      <c r="M83" s="31">
        <f>IF(OR(B83="",K83=""),"",B83-K83)</f>
        <v/>
      </c>
      <c r="N83" s="29">
        <f>IF(OR(C83="",L83=""),"",C83-L83)</f>
        <v/>
      </c>
    </row>
    <row r="84" ht="22" customHeight="1">
      <c r="A84" s="22" t="n">
        <v>81</v>
      </c>
      <c r="B84" s="23" t="n"/>
      <c r="C84" s="24" t="n"/>
      <c r="D84" s="22" t="n"/>
      <c r="E84" s="22" t="n"/>
      <c r="F84" s="22" t="n"/>
      <c r="G84" s="25" t="n"/>
      <c r="H84" s="25" t="n"/>
      <c r="I84" s="25" t="n"/>
      <c r="J84" s="25">
        <f>IF(G84&lt;&gt;"",G84,IF(OR(H84="",I84=""),"",H84+I84))</f>
        <v/>
      </c>
      <c r="K84" s="23" t="n"/>
      <c r="L84" s="24" t="n"/>
      <c r="M84" s="26">
        <f>IF(OR(B84="",K84=""),"",B84-K84)</f>
        <v/>
      </c>
      <c r="N84" s="24">
        <f>IF(OR(C84="",L84=""),"",C84-L84)</f>
        <v/>
      </c>
    </row>
    <row r="85" ht="22" customHeight="1">
      <c r="A85" s="27" t="n">
        <v>82</v>
      </c>
      <c r="B85" s="28" t="n"/>
      <c r="C85" s="29" t="n"/>
      <c r="D85" s="27" t="n"/>
      <c r="E85" s="27" t="n"/>
      <c r="F85" s="27" t="n"/>
      <c r="G85" s="30" t="n"/>
      <c r="H85" s="30" t="n"/>
      <c r="I85" s="30" t="n"/>
      <c r="J85" s="30">
        <f>IF(G85&lt;&gt;"",G85,IF(OR(H85="",I85=""),"",H85+I85))</f>
        <v/>
      </c>
      <c r="K85" s="28" t="n"/>
      <c r="L85" s="29" t="n"/>
      <c r="M85" s="31">
        <f>IF(OR(B85="",K85=""),"",B85-K85)</f>
        <v/>
      </c>
      <c r="N85" s="29">
        <f>IF(OR(C85="",L85=""),"",C85-L85)</f>
        <v/>
      </c>
    </row>
    <row r="86" ht="22" customHeight="1">
      <c r="A86" s="22" t="n">
        <v>83</v>
      </c>
      <c r="B86" s="23" t="n"/>
      <c r="C86" s="24" t="n"/>
      <c r="D86" s="22" t="n"/>
      <c r="E86" s="22" t="n"/>
      <c r="F86" s="22" t="n"/>
      <c r="G86" s="25" t="n"/>
      <c r="H86" s="25" t="n"/>
      <c r="I86" s="25" t="n"/>
      <c r="J86" s="25">
        <f>IF(G86&lt;&gt;"",G86,IF(OR(H86="",I86=""),"",H86+I86))</f>
        <v/>
      </c>
      <c r="K86" s="23" t="n"/>
      <c r="L86" s="24" t="n"/>
      <c r="M86" s="26">
        <f>IF(OR(B86="",K86=""),"",B86-K86)</f>
        <v/>
      </c>
      <c r="N86" s="24">
        <f>IF(OR(C86="",L86=""),"",C86-L86)</f>
        <v/>
      </c>
    </row>
    <row r="87" ht="22" customHeight="1">
      <c r="A87" s="27" t="n">
        <v>84</v>
      </c>
      <c r="B87" s="28" t="n"/>
      <c r="C87" s="29" t="n"/>
      <c r="D87" s="27" t="n"/>
      <c r="E87" s="27" t="n"/>
      <c r="F87" s="27" t="n"/>
      <c r="G87" s="30" t="n"/>
      <c r="H87" s="30" t="n"/>
      <c r="I87" s="30" t="n"/>
      <c r="J87" s="30">
        <f>IF(G87&lt;&gt;"",G87,IF(OR(H87="",I87=""),"",H87+I87))</f>
        <v/>
      </c>
      <c r="K87" s="28" t="n"/>
      <c r="L87" s="29" t="n"/>
      <c r="M87" s="31">
        <f>IF(OR(B87="",K87=""),"",B87-K87)</f>
        <v/>
      </c>
      <c r="N87" s="29">
        <f>IF(OR(C87="",L87=""),"",C87-L87)</f>
        <v/>
      </c>
    </row>
    <row r="88" ht="22" customHeight="1">
      <c r="A88" s="22" t="n">
        <v>85</v>
      </c>
      <c r="B88" s="23" t="n"/>
      <c r="C88" s="24" t="n"/>
      <c r="D88" s="22" t="n"/>
      <c r="E88" s="22" t="n"/>
      <c r="F88" s="22" t="n"/>
      <c r="G88" s="25" t="n"/>
      <c r="H88" s="25" t="n"/>
      <c r="I88" s="25" t="n"/>
      <c r="J88" s="25">
        <f>IF(G88&lt;&gt;"",G88,IF(OR(H88="",I88=""),"",H88+I88))</f>
        <v/>
      </c>
      <c r="K88" s="23" t="n"/>
      <c r="L88" s="24" t="n"/>
      <c r="M88" s="26">
        <f>IF(OR(B88="",K88=""),"",B88-K88)</f>
        <v/>
      </c>
      <c r="N88" s="24">
        <f>IF(OR(C88="",L88=""),"",C88-L88)</f>
        <v/>
      </c>
    </row>
    <row r="89" ht="22" customHeight="1">
      <c r="A89" s="27" t="n">
        <v>86</v>
      </c>
      <c r="B89" s="28" t="n"/>
      <c r="C89" s="29" t="n"/>
      <c r="D89" s="27" t="n"/>
      <c r="E89" s="27" t="n"/>
      <c r="F89" s="27" t="n"/>
      <c r="G89" s="30" t="n"/>
      <c r="H89" s="30" t="n"/>
      <c r="I89" s="30" t="n"/>
      <c r="J89" s="30">
        <f>IF(G89&lt;&gt;"",G89,IF(OR(H89="",I89=""),"",H89+I89))</f>
        <v/>
      </c>
      <c r="K89" s="28" t="n"/>
      <c r="L89" s="29" t="n"/>
      <c r="M89" s="31">
        <f>IF(OR(B89="",K89=""),"",B89-K89)</f>
        <v/>
      </c>
      <c r="N89" s="29">
        <f>IF(OR(C89="",L89=""),"",C89-L89)</f>
        <v/>
      </c>
    </row>
    <row r="90" ht="22" customHeight="1">
      <c r="A90" s="22" t="n">
        <v>87</v>
      </c>
      <c r="B90" s="23" t="n"/>
      <c r="C90" s="24" t="n"/>
      <c r="D90" s="22" t="n"/>
      <c r="E90" s="22" t="n"/>
      <c r="F90" s="22" t="n"/>
      <c r="G90" s="25" t="n"/>
      <c r="H90" s="25" t="n"/>
      <c r="I90" s="25" t="n"/>
      <c r="J90" s="25">
        <f>IF(G90&lt;&gt;"",G90,IF(OR(H90="",I90=""),"",H90+I90))</f>
        <v/>
      </c>
      <c r="K90" s="23" t="n"/>
      <c r="L90" s="24" t="n"/>
      <c r="M90" s="26">
        <f>IF(OR(B90="",K90=""),"",B90-K90)</f>
        <v/>
      </c>
      <c r="N90" s="24">
        <f>IF(OR(C90="",L90=""),"",C90-L90)</f>
        <v/>
      </c>
    </row>
    <row r="91" ht="22" customHeight="1">
      <c r="A91" s="27" t="n">
        <v>88</v>
      </c>
      <c r="B91" s="28" t="n"/>
      <c r="C91" s="29" t="n"/>
      <c r="D91" s="27" t="n"/>
      <c r="E91" s="27" t="n"/>
      <c r="F91" s="27" t="n"/>
      <c r="G91" s="30" t="n"/>
      <c r="H91" s="30" t="n"/>
      <c r="I91" s="30" t="n"/>
      <c r="J91" s="30">
        <f>IF(G91&lt;&gt;"",G91,IF(OR(H91="",I91=""),"",H91+I91))</f>
        <v/>
      </c>
      <c r="K91" s="28" t="n"/>
      <c r="L91" s="29" t="n"/>
      <c r="M91" s="31">
        <f>IF(OR(B91="",K91=""),"",B91-K91)</f>
        <v/>
      </c>
      <c r="N91" s="29">
        <f>IF(OR(C91="",L91=""),"",C91-L91)</f>
        <v/>
      </c>
    </row>
    <row r="92" ht="22" customHeight="1">
      <c r="A92" s="22" t="n">
        <v>89</v>
      </c>
      <c r="B92" s="23" t="n"/>
      <c r="C92" s="24" t="n"/>
      <c r="D92" s="22" t="n"/>
      <c r="E92" s="22" t="n"/>
      <c r="F92" s="22" t="n"/>
      <c r="G92" s="25" t="n"/>
      <c r="H92" s="25" t="n"/>
      <c r="I92" s="25" t="n"/>
      <c r="J92" s="25">
        <f>IF(G92&lt;&gt;"",G92,IF(OR(H92="",I92=""),"",H92+I92))</f>
        <v/>
      </c>
      <c r="K92" s="23" t="n"/>
      <c r="L92" s="24" t="n"/>
      <c r="M92" s="26">
        <f>IF(OR(B92="",K92=""),"",B92-K92)</f>
        <v/>
      </c>
      <c r="N92" s="24">
        <f>IF(OR(C92="",L92=""),"",C92-L92)</f>
        <v/>
      </c>
    </row>
    <row r="93" ht="22" customHeight="1">
      <c r="A93" s="27" t="n">
        <v>90</v>
      </c>
      <c r="B93" s="28" t="n"/>
      <c r="C93" s="29" t="n"/>
      <c r="D93" s="27" t="n"/>
      <c r="E93" s="27" t="n"/>
      <c r="F93" s="27" t="n"/>
      <c r="G93" s="30" t="n"/>
      <c r="H93" s="30" t="n"/>
      <c r="I93" s="30" t="n"/>
      <c r="J93" s="30">
        <f>IF(G93&lt;&gt;"",G93,IF(OR(H93="",I93=""),"",H93+I93))</f>
        <v/>
      </c>
      <c r="K93" s="28" t="n"/>
      <c r="L93" s="29" t="n"/>
      <c r="M93" s="31">
        <f>IF(OR(B93="",K93=""),"",B93-K93)</f>
        <v/>
      </c>
      <c r="N93" s="29">
        <f>IF(OR(C93="",L93=""),"",C93-L93)</f>
        <v/>
      </c>
    </row>
    <row r="94" ht="22" customHeight="1">
      <c r="A94" s="22" t="n">
        <v>91</v>
      </c>
      <c r="B94" s="23" t="n"/>
      <c r="C94" s="24" t="n"/>
      <c r="D94" s="22" t="n"/>
      <c r="E94" s="22" t="n"/>
      <c r="F94" s="22" t="n"/>
      <c r="G94" s="25" t="n"/>
      <c r="H94" s="25" t="n"/>
      <c r="I94" s="25" t="n"/>
      <c r="J94" s="25">
        <f>IF(G94&lt;&gt;"",G94,IF(OR(H94="",I94=""),"",H94+I94))</f>
        <v/>
      </c>
      <c r="K94" s="23" t="n"/>
      <c r="L94" s="24" t="n"/>
      <c r="M94" s="26">
        <f>IF(OR(B94="",K94=""),"",B94-K94)</f>
        <v/>
      </c>
      <c r="N94" s="24">
        <f>IF(OR(C94="",L94=""),"",C94-L94)</f>
        <v/>
      </c>
    </row>
    <row r="95" ht="22" customHeight="1">
      <c r="A95" s="27" t="n">
        <v>92</v>
      </c>
      <c r="B95" s="28" t="n"/>
      <c r="C95" s="29" t="n"/>
      <c r="D95" s="27" t="n"/>
      <c r="E95" s="27" t="n"/>
      <c r="F95" s="27" t="n"/>
      <c r="G95" s="30" t="n"/>
      <c r="H95" s="30" t="n"/>
      <c r="I95" s="30" t="n"/>
      <c r="J95" s="30">
        <f>IF(G95&lt;&gt;"",G95,IF(OR(H95="",I95=""),"",H95+I95))</f>
        <v/>
      </c>
      <c r="K95" s="28" t="n"/>
      <c r="L95" s="29" t="n"/>
      <c r="M95" s="31">
        <f>IF(OR(B95="",K95=""),"",B95-K95)</f>
        <v/>
      </c>
      <c r="N95" s="29">
        <f>IF(OR(C95="",L95=""),"",C95-L95)</f>
        <v/>
      </c>
    </row>
    <row r="96" ht="22" customHeight="1">
      <c r="A96" s="22" t="n">
        <v>93</v>
      </c>
      <c r="B96" s="23" t="n"/>
      <c r="C96" s="24" t="n"/>
      <c r="D96" s="22" t="n"/>
      <c r="E96" s="22" t="n"/>
      <c r="F96" s="22" t="n"/>
      <c r="G96" s="25" t="n"/>
      <c r="H96" s="25" t="n"/>
      <c r="I96" s="25" t="n"/>
      <c r="J96" s="25">
        <f>IF(G96&lt;&gt;"",G96,IF(OR(H96="",I96=""),"",H96+I96))</f>
        <v/>
      </c>
      <c r="K96" s="23" t="n"/>
      <c r="L96" s="24" t="n"/>
      <c r="M96" s="26">
        <f>IF(OR(B96="",K96=""),"",B96-K96)</f>
        <v/>
      </c>
      <c r="N96" s="24">
        <f>IF(OR(C96="",L96=""),"",C96-L96)</f>
        <v/>
      </c>
    </row>
    <row r="97" ht="22" customHeight="1">
      <c r="A97" s="27" t="n">
        <v>94</v>
      </c>
      <c r="B97" s="28" t="n"/>
      <c r="C97" s="29" t="n"/>
      <c r="D97" s="27" t="n"/>
      <c r="E97" s="27" t="n"/>
      <c r="F97" s="27" t="n"/>
      <c r="G97" s="30" t="n"/>
      <c r="H97" s="30" t="n"/>
      <c r="I97" s="30" t="n"/>
      <c r="J97" s="30">
        <f>IF(G97&lt;&gt;"",G97,IF(OR(H97="",I97=""),"",H97+I97))</f>
        <v/>
      </c>
      <c r="K97" s="28" t="n"/>
      <c r="L97" s="29" t="n"/>
      <c r="M97" s="31">
        <f>IF(OR(B97="",K97=""),"",B97-K97)</f>
        <v/>
      </c>
      <c r="N97" s="29">
        <f>IF(OR(C97="",L97=""),"",C97-L97)</f>
        <v/>
      </c>
    </row>
    <row r="98" ht="22" customHeight="1">
      <c r="A98" s="22" t="n">
        <v>95</v>
      </c>
      <c r="B98" s="23" t="n"/>
      <c r="C98" s="24" t="n"/>
      <c r="D98" s="22" t="n"/>
      <c r="E98" s="22" t="n"/>
      <c r="F98" s="22" t="n"/>
      <c r="G98" s="25" t="n"/>
      <c r="H98" s="25" t="n"/>
      <c r="I98" s="25" t="n"/>
      <c r="J98" s="25">
        <f>IF(G98&lt;&gt;"",G98,IF(OR(H98="",I98=""),"",H98+I98))</f>
        <v/>
      </c>
      <c r="K98" s="23" t="n"/>
      <c r="L98" s="24" t="n"/>
      <c r="M98" s="26">
        <f>IF(OR(B98="",K98=""),"",B98-K98)</f>
        <v/>
      </c>
      <c r="N98" s="24">
        <f>IF(OR(C98="",L98=""),"",C98-L98)</f>
        <v/>
      </c>
    </row>
    <row r="99" ht="22" customHeight="1">
      <c r="A99" s="27" t="n">
        <v>96</v>
      </c>
      <c r="B99" s="28" t="n"/>
      <c r="C99" s="29" t="n"/>
      <c r="D99" s="27" t="n"/>
      <c r="E99" s="27" t="n"/>
      <c r="F99" s="27" t="n"/>
      <c r="G99" s="30" t="n"/>
      <c r="H99" s="30" t="n"/>
      <c r="I99" s="30" t="n"/>
      <c r="J99" s="30">
        <f>IF(G99&lt;&gt;"",G99,IF(OR(H99="",I99=""),"",H99+I99))</f>
        <v/>
      </c>
      <c r="K99" s="28" t="n"/>
      <c r="L99" s="29" t="n"/>
      <c r="M99" s="31">
        <f>IF(OR(B99="",K99=""),"",B99-K99)</f>
        <v/>
      </c>
      <c r="N99" s="29">
        <f>IF(OR(C99="",L99=""),"",C99-L99)</f>
        <v/>
      </c>
    </row>
    <row r="100" ht="22" customHeight="1">
      <c r="A100" s="22" t="n">
        <v>97</v>
      </c>
      <c r="B100" s="23" t="n"/>
      <c r="C100" s="24" t="n"/>
      <c r="D100" s="22" t="n"/>
      <c r="E100" s="22" t="n"/>
      <c r="F100" s="22" t="n"/>
      <c r="G100" s="25" t="n"/>
      <c r="H100" s="25" t="n"/>
      <c r="I100" s="25" t="n"/>
      <c r="J100" s="25">
        <f>IF(G100&lt;&gt;"",G100,IF(OR(H100="",I100=""),"",H100+I100))</f>
        <v/>
      </c>
      <c r="K100" s="23" t="n"/>
      <c r="L100" s="24" t="n"/>
      <c r="M100" s="26">
        <f>IF(OR(B100="",K100=""),"",B100-K100)</f>
        <v/>
      </c>
      <c r="N100" s="24">
        <f>IF(OR(C100="",L100=""),"",C100-L100)</f>
        <v/>
      </c>
    </row>
    <row r="101" ht="22" customHeight="1">
      <c r="A101" s="27" t="n">
        <v>98</v>
      </c>
      <c r="B101" s="28" t="n"/>
      <c r="C101" s="29" t="n"/>
      <c r="D101" s="27" t="n"/>
      <c r="E101" s="27" t="n"/>
      <c r="F101" s="27" t="n"/>
      <c r="G101" s="30" t="n"/>
      <c r="H101" s="30" t="n"/>
      <c r="I101" s="30" t="n"/>
      <c r="J101" s="30">
        <f>IF(G101&lt;&gt;"",G101,IF(OR(H101="",I101=""),"",H101+I101))</f>
        <v/>
      </c>
      <c r="K101" s="28" t="n"/>
      <c r="L101" s="29" t="n"/>
      <c r="M101" s="31">
        <f>IF(OR(B101="",K101=""),"",B101-K101)</f>
        <v/>
      </c>
      <c r="N101" s="29">
        <f>IF(OR(C101="",L101=""),"",C101-L101)</f>
        <v/>
      </c>
    </row>
    <row r="102" ht="22" customHeight="1">
      <c r="A102" s="22" t="n">
        <v>99</v>
      </c>
      <c r="B102" s="23" t="n"/>
      <c r="C102" s="24" t="n"/>
      <c r="D102" s="22" t="n"/>
      <c r="E102" s="22" t="n"/>
      <c r="F102" s="22" t="n"/>
      <c r="G102" s="25" t="n"/>
      <c r="H102" s="25" t="n"/>
      <c r="I102" s="25" t="n"/>
      <c r="J102" s="25">
        <f>IF(G102&lt;&gt;"",G102,IF(OR(H102="",I102=""),"",H102+I102))</f>
        <v/>
      </c>
      <c r="K102" s="23" t="n"/>
      <c r="L102" s="24" t="n"/>
      <c r="M102" s="26">
        <f>IF(OR(B102="",K102=""),"",B102-K102)</f>
        <v/>
      </c>
      <c r="N102" s="24">
        <f>IF(OR(C102="",L102=""),"",C102-L102)</f>
        <v/>
      </c>
    </row>
    <row r="103" ht="22" customHeight="1">
      <c r="A103" s="27" t="n">
        <v>100</v>
      </c>
      <c r="B103" s="28" t="n"/>
      <c r="C103" s="29" t="n"/>
      <c r="D103" s="27" t="n"/>
      <c r="E103" s="27" t="n"/>
      <c r="F103" s="27" t="n"/>
      <c r="G103" s="30" t="n"/>
      <c r="H103" s="30" t="n"/>
      <c r="I103" s="30" t="n"/>
      <c r="J103" s="30">
        <f>IF(G103&lt;&gt;"",G103,IF(OR(H103="",I103=""),"",H103+I103))</f>
        <v/>
      </c>
      <c r="K103" s="28" t="n"/>
      <c r="L103" s="29" t="n"/>
      <c r="M103" s="31">
        <f>IF(OR(B103="",K103=""),"",B103-K103)</f>
        <v/>
      </c>
      <c r="N103" s="29">
        <f>IF(OR(C103="",L103=""),"",C103-L103)</f>
        <v/>
      </c>
    </row>
    <row r="104" ht="22" customHeight="1">
      <c r="A104" s="22" t="n">
        <v>101</v>
      </c>
      <c r="B104" s="23" t="n"/>
      <c r="C104" s="24" t="n"/>
      <c r="D104" s="22" t="n"/>
      <c r="E104" s="22" t="n"/>
      <c r="F104" s="22" t="n"/>
      <c r="G104" s="25" t="n"/>
      <c r="H104" s="25" t="n"/>
      <c r="I104" s="25" t="n"/>
      <c r="J104" s="25">
        <f>IF(G104&lt;&gt;"",G104,IF(OR(H104="",I104=""),"",H104+I104))</f>
        <v/>
      </c>
      <c r="K104" s="23" t="n"/>
      <c r="L104" s="24" t="n"/>
      <c r="M104" s="26">
        <f>IF(OR(B104="",K104=""),"",B104-K104)</f>
        <v/>
      </c>
      <c r="N104" s="24">
        <f>IF(OR(C104="",L104=""),"",C104-L104)</f>
        <v/>
      </c>
    </row>
    <row r="105" ht="22" customHeight="1">
      <c r="A105" s="27" t="n">
        <v>102</v>
      </c>
      <c r="B105" s="28" t="n"/>
      <c r="C105" s="29" t="n"/>
      <c r="D105" s="27" t="n"/>
      <c r="E105" s="27" t="n"/>
      <c r="F105" s="27" t="n"/>
      <c r="G105" s="30" t="n"/>
      <c r="H105" s="30" t="n"/>
      <c r="I105" s="30" t="n"/>
      <c r="J105" s="30">
        <f>IF(G105&lt;&gt;"",G105,IF(OR(H105="",I105=""),"",H105+I105))</f>
        <v/>
      </c>
      <c r="K105" s="28" t="n"/>
      <c r="L105" s="29" t="n"/>
      <c r="M105" s="31">
        <f>IF(OR(B105="",K105=""),"",B105-K105)</f>
        <v/>
      </c>
      <c r="N105" s="29">
        <f>IF(OR(C105="",L105=""),"",C105-L105)</f>
        <v/>
      </c>
    </row>
    <row r="106" ht="22" customHeight="1">
      <c r="A106" s="22" t="n">
        <v>103</v>
      </c>
      <c r="B106" s="23" t="n"/>
      <c r="C106" s="24" t="n"/>
      <c r="D106" s="22" t="n"/>
      <c r="E106" s="22" t="n"/>
      <c r="F106" s="22" t="n"/>
      <c r="G106" s="25" t="n"/>
      <c r="H106" s="25" t="n"/>
      <c r="I106" s="25" t="n"/>
      <c r="J106" s="25">
        <f>IF(G106&lt;&gt;"",G106,IF(OR(H106="",I106=""),"",H106+I106))</f>
        <v/>
      </c>
      <c r="K106" s="23" t="n"/>
      <c r="L106" s="24" t="n"/>
      <c r="M106" s="26">
        <f>IF(OR(B106="",K106=""),"",B106-K106)</f>
        <v/>
      </c>
      <c r="N106" s="24">
        <f>IF(OR(C106="",L106=""),"",C106-L106)</f>
        <v/>
      </c>
    </row>
    <row r="107" ht="22" customHeight="1">
      <c r="A107" s="27" t="n">
        <v>104</v>
      </c>
      <c r="B107" s="28" t="n"/>
      <c r="C107" s="29" t="n"/>
      <c r="D107" s="27" t="n"/>
      <c r="E107" s="27" t="n"/>
      <c r="F107" s="27" t="n"/>
      <c r="G107" s="30" t="n"/>
      <c r="H107" s="30" t="n"/>
      <c r="I107" s="30" t="n"/>
      <c r="J107" s="30">
        <f>IF(G107&lt;&gt;"",G107,IF(OR(H107="",I107=""),"",H107+I107))</f>
        <v/>
      </c>
      <c r="K107" s="28" t="n"/>
      <c r="L107" s="29" t="n"/>
      <c r="M107" s="31">
        <f>IF(OR(B107="",K107=""),"",B107-K107)</f>
        <v/>
      </c>
      <c r="N107" s="29">
        <f>IF(OR(C107="",L107=""),"",C107-L107)</f>
        <v/>
      </c>
    </row>
    <row r="108" ht="22" customHeight="1">
      <c r="A108" s="22" t="n">
        <v>105</v>
      </c>
      <c r="B108" s="23" t="n"/>
      <c r="C108" s="24" t="n"/>
      <c r="D108" s="22" t="n"/>
      <c r="E108" s="22" t="n"/>
      <c r="F108" s="22" t="n"/>
      <c r="G108" s="25" t="n"/>
      <c r="H108" s="25" t="n"/>
      <c r="I108" s="25" t="n"/>
      <c r="J108" s="25">
        <f>IF(G108&lt;&gt;"",G108,IF(OR(H108="",I108=""),"",H108+I108))</f>
        <v/>
      </c>
      <c r="K108" s="23" t="n"/>
      <c r="L108" s="24" t="n"/>
      <c r="M108" s="26">
        <f>IF(OR(B108="",K108=""),"",B108-K108)</f>
        <v/>
      </c>
      <c r="N108" s="24">
        <f>IF(OR(C108="",L108=""),"",C108-L108)</f>
        <v/>
      </c>
    </row>
    <row r="109" ht="22" customHeight="1">
      <c r="A109" s="27" t="n">
        <v>106</v>
      </c>
      <c r="B109" s="28" t="n"/>
      <c r="C109" s="29" t="n"/>
      <c r="D109" s="27" t="n"/>
      <c r="E109" s="27" t="n"/>
      <c r="F109" s="27" t="n"/>
      <c r="G109" s="30" t="n"/>
      <c r="H109" s="30" t="n"/>
      <c r="I109" s="30" t="n"/>
      <c r="J109" s="30">
        <f>IF(G109&lt;&gt;"",G109,IF(OR(H109="",I109=""),"",H109+I109))</f>
        <v/>
      </c>
      <c r="K109" s="28" t="n"/>
      <c r="L109" s="29" t="n"/>
      <c r="M109" s="31">
        <f>IF(OR(B109="",K109=""),"",B109-K109)</f>
        <v/>
      </c>
      <c r="N109" s="29">
        <f>IF(OR(C109="",L109=""),"",C109-L109)</f>
        <v/>
      </c>
    </row>
    <row r="110" ht="22" customHeight="1">
      <c r="A110" s="22" t="n">
        <v>107</v>
      </c>
      <c r="B110" s="23" t="n"/>
      <c r="C110" s="24" t="n"/>
      <c r="D110" s="22" t="n"/>
      <c r="E110" s="22" t="n"/>
      <c r="F110" s="22" t="n"/>
      <c r="G110" s="25" t="n"/>
      <c r="H110" s="25" t="n"/>
      <c r="I110" s="25" t="n"/>
      <c r="J110" s="25">
        <f>IF(G110&lt;&gt;"",G110,IF(OR(H110="",I110=""),"",H110+I110))</f>
        <v/>
      </c>
      <c r="K110" s="23" t="n"/>
      <c r="L110" s="24" t="n"/>
      <c r="M110" s="26">
        <f>IF(OR(B110="",K110=""),"",B110-K110)</f>
        <v/>
      </c>
      <c r="N110" s="24">
        <f>IF(OR(C110="",L110=""),"",C110-L110)</f>
        <v/>
      </c>
    </row>
    <row r="111" ht="22" customHeight="1">
      <c r="A111" s="27" t="n">
        <v>108</v>
      </c>
      <c r="B111" s="28" t="n"/>
      <c r="C111" s="29" t="n"/>
      <c r="D111" s="27" t="n"/>
      <c r="E111" s="27" t="n"/>
      <c r="F111" s="27" t="n"/>
      <c r="G111" s="30" t="n"/>
      <c r="H111" s="30" t="n"/>
      <c r="I111" s="30" t="n"/>
      <c r="J111" s="30">
        <f>IF(G111&lt;&gt;"",G111,IF(OR(H111="",I111=""),"",H111+I111))</f>
        <v/>
      </c>
      <c r="K111" s="28" t="n"/>
      <c r="L111" s="29" t="n"/>
      <c r="M111" s="31">
        <f>IF(OR(B111="",K111=""),"",B111-K111)</f>
        <v/>
      </c>
      <c r="N111" s="29">
        <f>IF(OR(C111="",L111=""),"",C111-L111)</f>
        <v/>
      </c>
    </row>
    <row r="112" ht="22" customHeight="1">
      <c r="A112" s="22" t="n">
        <v>109</v>
      </c>
      <c r="B112" s="23" t="n"/>
      <c r="C112" s="24" t="n"/>
      <c r="D112" s="22" t="n"/>
      <c r="E112" s="22" t="n"/>
      <c r="F112" s="22" t="n"/>
      <c r="G112" s="25" t="n"/>
      <c r="H112" s="25" t="n"/>
      <c r="I112" s="25" t="n"/>
      <c r="J112" s="25">
        <f>IF(G112&lt;&gt;"",G112,IF(OR(H112="",I112=""),"",H112+I112))</f>
        <v/>
      </c>
      <c r="K112" s="23" t="n"/>
      <c r="L112" s="24" t="n"/>
      <c r="M112" s="26">
        <f>IF(OR(B112="",K112=""),"",B112-K112)</f>
        <v/>
      </c>
      <c r="N112" s="24">
        <f>IF(OR(C112="",L112=""),"",C112-L112)</f>
        <v/>
      </c>
    </row>
    <row r="113" ht="22" customHeight="1">
      <c r="A113" s="27" t="n">
        <v>110</v>
      </c>
      <c r="B113" s="28" t="n"/>
      <c r="C113" s="29" t="n"/>
      <c r="D113" s="27" t="n"/>
      <c r="E113" s="27" t="n"/>
      <c r="F113" s="27" t="n"/>
      <c r="G113" s="30" t="n"/>
      <c r="H113" s="30" t="n"/>
      <c r="I113" s="30" t="n"/>
      <c r="J113" s="30">
        <f>IF(G113&lt;&gt;"",G113,IF(OR(H113="",I113=""),"",H113+I113))</f>
        <v/>
      </c>
      <c r="K113" s="28" t="n"/>
      <c r="L113" s="29" t="n"/>
      <c r="M113" s="31">
        <f>IF(OR(B113="",K113=""),"",B113-K113)</f>
        <v/>
      </c>
      <c r="N113" s="29">
        <f>IF(OR(C113="",L113=""),"",C113-L113)</f>
        <v/>
      </c>
    </row>
    <row r="114" ht="22" customHeight="1">
      <c r="A114" s="22" t="n">
        <v>111</v>
      </c>
      <c r="B114" s="23" t="n"/>
      <c r="C114" s="24" t="n"/>
      <c r="D114" s="22" t="n"/>
      <c r="E114" s="22" t="n"/>
      <c r="F114" s="22" t="n"/>
      <c r="G114" s="25" t="n"/>
      <c r="H114" s="25" t="n"/>
      <c r="I114" s="25" t="n"/>
      <c r="J114" s="25">
        <f>IF(G114&lt;&gt;"",G114,IF(OR(H114="",I114=""),"",H114+I114))</f>
        <v/>
      </c>
      <c r="K114" s="23" t="n"/>
      <c r="L114" s="24" t="n"/>
      <c r="M114" s="26">
        <f>IF(OR(B114="",K114=""),"",B114-K114)</f>
        <v/>
      </c>
      <c r="N114" s="24">
        <f>IF(OR(C114="",L114=""),"",C114-L114)</f>
        <v/>
      </c>
    </row>
    <row r="115" ht="22" customHeight="1">
      <c r="A115" s="27" t="n">
        <v>112</v>
      </c>
      <c r="B115" s="28" t="n"/>
      <c r="C115" s="29" t="n"/>
      <c r="D115" s="27" t="n"/>
      <c r="E115" s="27" t="n"/>
      <c r="F115" s="27" t="n"/>
      <c r="G115" s="30" t="n"/>
      <c r="H115" s="30" t="n"/>
      <c r="I115" s="30" t="n"/>
      <c r="J115" s="30">
        <f>IF(G115&lt;&gt;"",G115,IF(OR(H115="",I115=""),"",H115+I115))</f>
        <v/>
      </c>
      <c r="K115" s="28" t="n"/>
      <c r="L115" s="29" t="n"/>
      <c r="M115" s="31">
        <f>IF(OR(B115="",K115=""),"",B115-K115)</f>
        <v/>
      </c>
      <c r="N115" s="29">
        <f>IF(OR(C115="",L115=""),"",C115-L115)</f>
        <v/>
      </c>
    </row>
    <row r="116" ht="22" customHeight="1">
      <c r="A116" s="22" t="n">
        <v>113</v>
      </c>
      <c r="B116" s="23" t="n"/>
      <c r="C116" s="24" t="n"/>
      <c r="D116" s="22" t="n"/>
      <c r="E116" s="22" t="n"/>
      <c r="F116" s="22" t="n"/>
      <c r="G116" s="25" t="n"/>
      <c r="H116" s="25" t="n"/>
      <c r="I116" s="25" t="n"/>
      <c r="J116" s="25">
        <f>IF(G116&lt;&gt;"",G116,IF(OR(H116="",I116=""),"",H116+I116))</f>
        <v/>
      </c>
      <c r="K116" s="23" t="n"/>
      <c r="L116" s="24" t="n"/>
      <c r="M116" s="26">
        <f>IF(OR(B116="",K116=""),"",B116-K116)</f>
        <v/>
      </c>
      <c r="N116" s="24">
        <f>IF(OR(C116="",L116=""),"",C116-L116)</f>
        <v/>
      </c>
    </row>
    <row r="117" ht="22" customHeight="1">
      <c r="A117" s="27" t="n">
        <v>114</v>
      </c>
      <c r="B117" s="28" t="n"/>
      <c r="C117" s="29" t="n"/>
      <c r="D117" s="27" t="n"/>
      <c r="E117" s="27" t="n"/>
      <c r="F117" s="27" t="n"/>
      <c r="G117" s="30" t="n"/>
      <c r="H117" s="30" t="n"/>
      <c r="I117" s="30" t="n"/>
      <c r="J117" s="30">
        <f>IF(G117&lt;&gt;"",G117,IF(OR(H117="",I117=""),"",H117+I117))</f>
        <v/>
      </c>
      <c r="K117" s="28" t="n"/>
      <c r="L117" s="29" t="n"/>
      <c r="M117" s="31">
        <f>IF(OR(B117="",K117=""),"",B117-K117)</f>
        <v/>
      </c>
      <c r="N117" s="29">
        <f>IF(OR(C117="",L117=""),"",C117-L117)</f>
        <v/>
      </c>
    </row>
    <row r="118" ht="22" customHeight="1">
      <c r="A118" s="22" t="n">
        <v>115</v>
      </c>
      <c r="B118" s="23" t="n"/>
      <c r="C118" s="24" t="n"/>
      <c r="D118" s="22" t="n"/>
      <c r="E118" s="22" t="n"/>
      <c r="F118" s="22" t="n"/>
      <c r="G118" s="25" t="n"/>
      <c r="H118" s="25" t="n"/>
      <c r="I118" s="25" t="n"/>
      <c r="J118" s="25">
        <f>IF(G118&lt;&gt;"",G118,IF(OR(H118="",I118=""),"",H118+I118))</f>
        <v/>
      </c>
      <c r="K118" s="23" t="n"/>
      <c r="L118" s="24" t="n"/>
      <c r="M118" s="26">
        <f>IF(OR(B118="",K118=""),"",B118-K118)</f>
        <v/>
      </c>
      <c r="N118" s="24">
        <f>IF(OR(C118="",L118=""),"",C118-L118)</f>
        <v/>
      </c>
    </row>
    <row r="119" ht="22" customHeight="1">
      <c r="A119" s="27" t="n">
        <v>116</v>
      </c>
      <c r="B119" s="28" t="n"/>
      <c r="C119" s="29" t="n"/>
      <c r="D119" s="27" t="n"/>
      <c r="E119" s="27" t="n"/>
      <c r="F119" s="27" t="n"/>
      <c r="G119" s="30" t="n"/>
      <c r="H119" s="30" t="n"/>
      <c r="I119" s="30" t="n"/>
      <c r="J119" s="30">
        <f>IF(G119&lt;&gt;"",G119,IF(OR(H119="",I119=""),"",H119+I119))</f>
        <v/>
      </c>
      <c r="K119" s="28" t="n"/>
      <c r="L119" s="29" t="n"/>
      <c r="M119" s="31">
        <f>IF(OR(B119="",K119=""),"",B119-K119)</f>
        <v/>
      </c>
      <c r="N119" s="29">
        <f>IF(OR(C119="",L119=""),"",C119-L119)</f>
        <v/>
      </c>
    </row>
    <row r="120" ht="22" customHeight="1">
      <c r="A120" s="22" t="n">
        <v>117</v>
      </c>
      <c r="B120" s="23" t="n"/>
      <c r="C120" s="24" t="n"/>
      <c r="D120" s="22" t="n"/>
      <c r="E120" s="22" t="n"/>
      <c r="F120" s="22" t="n"/>
      <c r="G120" s="25" t="n"/>
      <c r="H120" s="25" t="n"/>
      <c r="I120" s="25" t="n"/>
      <c r="J120" s="25">
        <f>IF(G120&lt;&gt;"",G120,IF(OR(H120="",I120=""),"",H120+I120))</f>
        <v/>
      </c>
      <c r="K120" s="23" t="n"/>
      <c r="L120" s="24" t="n"/>
      <c r="M120" s="26">
        <f>IF(OR(B120="",K120=""),"",B120-K120)</f>
        <v/>
      </c>
      <c r="N120" s="24">
        <f>IF(OR(C120="",L120=""),"",C120-L120)</f>
        <v/>
      </c>
    </row>
    <row r="121" ht="22" customHeight="1">
      <c r="A121" s="27" t="n">
        <v>118</v>
      </c>
      <c r="B121" s="28" t="n"/>
      <c r="C121" s="29" t="n"/>
      <c r="D121" s="27" t="n"/>
      <c r="E121" s="27" t="n"/>
      <c r="F121" s="27" t="n"/>
      <c r="G121" s="30" t="n"/>
      <c r="H121" s="30" t="n"/>
      <c r="I121" s="30" t="n"/>
      <c r="J121" s="30">
        <f>IF(G121&lt;&gt;"",G121,IF(OR(H121="",I121=""),"",H121+I121))</f>
        <v/>
      </c>
      <c r="K121" s="28" t="n"/>
      <c r="L121" s="29" t="n"/>
      <c r="M121" s="31">
        <f>IF(OR(B121="",K121=""),"",B121-K121)</f>
        <v/>
      </c>
      <c r="N121" s="29">
        <f>IF(OR(C121="",L121=""),"",C121-L121)</f>
        <v/>
      </c>
    </row>
    <row r="122" ht="22" customHeight="1">
      <c r="A122" s="22" t="n">
        <v>119</v>
      </c>
      <c r="B122" s="23" t="n"/>
      <c r="C122" s="24" t="n"/>
      <c r="D122" s="22" t="n"/>
      <c r="E122" s="22" t="n"/>
      <c r="F122" s="22" t="n"/>
      <c r="G122" s="25" t="n"/>
      <c r="H122" s="25" t="n"/>
      <c r="I122" s="25" t="n"/>
      <c r="J122" s="25">
        <f>IF(G122&lt;&gt;"",G122,IF(OR(H122="",I122=""),"",H122+I122))</f>
        <v/>
      </c>
      <c r="K122" s="23" t="n"/>
      <c r="L122" s="24" t="n"/>
      <c r="M122" s="26">
        <f>IF(OR(B122="",K122=""),"",B122-K122)</f>
        <v/>
      </c>
      <c r="N122" s="24">
        <f>IF(OR(C122="",L122=""),"",C122-L122)</f>
        <v/>
      </c>
    </row>
    <row r="123" ht="22" customHeight="1">
      <c r="A123" s="27" t="n">
        <v>120</v>
      </c>
      <c r="B123" s="28" t="n"/>
      <c r="C123" s="29" t="n"/>
      <c r="D123" s="27" t="n"/>
      <c r="E123" s="27" t="n"/>
      <c r="F123" s="27" t="n"/>
      <c r="G123" s="30" t="n"/>
      <c r="H123" s="30" t="n"/>
      <c r="I123" s="30" t="n"/>
      <c r="J123" s="30">
        <f>IF(G123&lt;&gt;"",G123,IF(OR(H123="",I123=""),"",H123+I123))</f>
        <v/>
      </c>
      <c r="K123" s="28" t="n"/>
      <c r="L123" s="29" t="n"/>
      <c r="M123" s="31">
        <f>IF(OR(B123="",K123=""),"",B123-K123)</f>
        <v/>
      </c>
      <c r="N123" s="29">
        <f>IF(OR(C123="",L123=""),"",C123-L123)</f>
        <v/>
      </c>
    </row>
    <row r="124" ht="22" customHeight="1">
      <c r="A124" s="22" t="n">
        <v>121</v>
      </c>
      <c r="B124" s="23" t="n"/>
      <c r="C124" s="24" t="n"/>
      <c r="D124" s="22" t="n"/>
      <c r="E124" s="22" t="n"/>
      <c r="F124" s="22" t="n"/>
      <c r="G124" s="25" t="n"/>
      <c r="H124" s="25" t="n"/>
      <c r="I124" s="25" t="n"/>
      <c r="J124" s="25">
        <f>IF(G124&lt;&gt;"",G124,IF(OR(H124="",I124=""),"",H124+I124))</f>
        <v/>
      </c>
      <c r="K124" s="23" t="n"/>
      <c r="L124" s="24" t="n"/>
      <c r="M124" s="26">
        <f>IF(OR(B124="",K124=""),"",B124-K124)</f>
        <v/>
      </c>
      <c r="N124" s="24">
        <f>IF(OR(C124="",L124=""),"",C124-L124)</f>
        <v/>
      </c>
    </row>
    <row r="125" ht="22" customHeight="1">
      <c r="A125" s="27" t="n">
        <v>122</v>
      </c>
      <c r="B125" s="28" t="n"/>
      <c r="C125" s="29" t="n"/>
      <c r="D125" s="27" t="n"/>
      <c r="E125" s="27" t="n"/>
      <c r="F125" s="27" t="n"/>
      <c r="G125" s="30" t="n"/>
      <c r="H125" s="30" t="n"/>
      <c r="I125" s="30" t="n"/>
      <c r="J125" s="30">
        <f>IF(G125&lt;&gt;"",G125,IF(OR(H125="",I125=""),"",H125+I125))</f>
        <v/>
      </c>
      <c r="K125" s="28" t="n"/>
      <c r="L125" s="29" t="n"/>
      <c r="M125" s="31">
        <f>IF(OR(B125="",K125=""),"",B125-K125)</f>
        <v/>
      </c>
      <c r="N125" s="29">
        <f>IF(OR(C125="",L125=""),"",C125-L125)</f>
        <v/>
      </c>
    </row>
    <row r="126" ht="22" customHeight="1">
      <c r="A126" s="22" t="n">
        <v>123</v>
      </c>
      <c r="B126" s="23" t="n"/>
      <c r="C126" s="24" t="n"/>
      <c r="D126" s="22" t="n"/>
      <c r="E126" s="22" t="n"/>
      <c r="F126" s="22" t="n"/>
      <c r="G126" s="25" t="n"/>
      <c r="H126" s="25" t="n"/>
      <c r="I126" s="25" t="n"/>
      <c r="J126" s="25">
        <f>IF(G126&lt;&gt;"",G126,IF(OR(H126="",I126=""),"",H126+I126))</f>
        <v/>
      </c>
      <c r="K126" s="23" t="n"/>
      <c r="L126" s="24" t="n"/>
      <c r="M126" s="26">
        <f>IF(OR(B126="",K126=""),"",B126-K126)</f>
        <v/>
      </c>
      <c r="N126" s="24">
        <f>IF(OR(C126="",L126=""),"",C126-L126)</f>
        <v/>
      </c>
    </row>
    <row r="127" ht="22" customHeight="1">
      <c r="A127" s="27" t="n">
        <v>124</v>
      </c>
      <c r="B127" s="28" t="n"/>
      <c r="C127" s="29" t="n"/>
      <c r="D127" s="27" t="n"/>
      <c r="E127" s="27" t="n"/>
      <c r="F127" s="27" t="n"/>
      <c r="G127" s="30" t="n"/>
      <c r="H127" s="30" t="n"/>
      <c r="I127" s="30" t="n"/>
      <c r="J127" s="30">
        <f>IF(G127&lt;&gt;"",G127,IF(OR(H127="",I127=""),"",H127+I127))</f>
        <v/>
      </c>
      <c r="K127" s="28" t="n"/>
      <c r="L127" s="29" t="n"/>
      <c r="M127" s="31">
        <f>IF(OR(B127="",K127=""),"",B127-K127)</f>
        <v/>
      </c>
      <c r="N127" s="29">
        <f>IF(OR(C127="",L127=""),"",C127-L127)</f>
        <v/>
      </c>
    </row>
    <row r="128" ht="22" customHeight="1">
      <c r="A128" s="22" t="n">
        <v>125</v>
      </c>
      <c r="B128" s="23" t="n"/>
      <c r="C128" s="24" t="n"/>
      <c r="D128" s="22" t="n"/>
      <c r="E128" s="22" t="n"/>
      <c r="F128" s="22" t="n"/>
      <c r="G128" s="25" t="n"/>
      <c r="H128" s="25" t="n"/>
      <c r="I128" s="25" t="n"/>
      <c r="J128" s="25">
        <f>IF(G128&lt;&gt;"",G128,IF(OR(H128="",I128=""),"",H128+I128))</f>
        <v/>
      </c>
      <c r="K128" s="23" t="n"/>
      <c r="L128" s="24" t="n"/>
      <c r="M128" s="26">
        <f>IF(OR(B128="",K128=""),"",B128-K128)</f>
        <v/>
      </c>
      <c r="N128" s="24">
        <f>IF(OR(C128="",L128=""),"",C128-L128)</f>
        <v/>
      </c>
    </row>
    <row r="129" ht="22" customHeight="1">
      <c r="A129" s="27" t="n">
        <v>126</v>
      </c>
      <c r="B129" s="28" t="n"/>
      <c r="C129" s="29" t="n"/>
      <c r="D129" s="27" t="n"/>
      <c r="E129" s="27" t="n"/>
      <c r="F129" s="27" t="n"/>
      <c r="G129" s="30" t="n"/>
      <c r="H129" s="30" t="n"/>
      <c r="I129" s="30" t="n"/>
      <c r="J129" s="30">
        <f>IF(G129&lt;&gt;"",G129,IF(OR(H129="",I129=""),"",H129+I129))</f>
        <v/>
      </c>
      <c r="K129" s="28" t="n"/>
      <c r="L129" s="29" t="n"/>
      <c r="M129" s="31">
        <f>IF(OR(B129="",K129=""),"",B129-K129)</f>
        <v/>
      </c>
      <c r="N129" s="29">
        <f>IF(OR(C129="",L129=""),"",C129-L129)</f>
        <v/>
      </c>
    </row>
    <row r="130" ht="22" customHeight="1">
      <c r="A130" s="22" t="n">
        <v>127</v>
      </c>
      <c r="B130" s="23" t="n"/>
      <c r="C130" s="24" t="n"/>
      <c r="D130" s="22" t="n"/>
      <c r="E130" s="22" t="n"/>
      <c r="F130" s="22" t="n"/>
      <c r="G130" s="25" t="n"/>
      <c r="H130" s="25" t="n"/>
      <c r="I130" s="25" t="n"/>
      <c r="J130" s="25">
        <f>IF(G130&lt;&gt;"",G130,IF(OR(H130="",I130=""),"",H130+I130))</f>
        <v/>
      </c>
      <c r="K130" s="23" t="n"/>
      <c r="L130" s="24" t="n"/>
      <c r="M130" s="26">
        <f>IF(OR(B130="",K130=""),"",B130-K130)</f>
        <v/>
      </c>
      <c r="N130" s="24">
        <f>IF(OR(C130="",L130=""),"",C130-L130)</f>
        <v/>
      </c>
    </row>
    <row r="131" ht="22" customHeight="1">
      <c r="A131" s="27" t="n">
        <v>128</v>
      </c>
      <c r="B131" s="28" t="n"/>
      <c r="C131" s="29" t="n"/>
      <c r="D131" s="27" t="n"/>
      <c r="E131" s="27" t="n"/>
      <c r="F131" s="27" t="n"/>
      <c r="G131" s="30" t="n"/>
      <c r="H131" s="30" t="n"/>
      <c r="I131" s="30" t="n"/>
      <c r="J131" s="30">
        <f>IF(G131&lt;&gt;"",G131,IF(OR(H131="",I131=""),"",H131+I131))</f>
        <v/>
      </c>
      <c r="K131" s="28" t="n"/>
      <c r="L131" s="29" t="n"/>
      <c r="M131" s="31">
        <f>IF(OR(B131="",K131=""),"",B131-K131)</f>
        <v/>
      </c>
      <c r="N131" s="29">
        <f>IF(OR(C131="",L131=""),"",C131-L131)</f>
        <v/>
      </c>
    </row>
    <row r="132" ht="22" customHeight="1">
      <c r="A132" s="22" t="n">
        <v>129</v>
      </c>
      <c r="B132" s="23" t="n"/>
      <c r="C132" s="24" t="n"/>
      <c r="D132" s="22" t="n"/>
      <c r="E132" s="22" t="n"/>
      <c r="F132" s="22" t="n"/>
      <c r="G132" s="25" t="n"/>
      <c r="H132" s="25" t="n"/>
      <c r="I132" s="25" t="n"/>
      <c r="J132" s="25">
        <f>IF(G132&lt;&gt;"",G132,IF(OR(H132="",I132=""),"",H132+I132))</f>
        <v/>
      </c>
      <c r="K132" s="23" t="n"/>
      <c r="L132" s="24" t="n"/>
      <c r="M132" s="26">
        <f>IF(OR(B132="",K132=""),"",B132-K132)</f>
        <v/>
      </c>
      <c r="N132" s="24">
        <f>IF(OR(C132="",L132=""),"",C132-L132)</f>
        <v/>
      </c>
    </row>
    <row r="133" ht="22" customHeight="1">
      <c r="A133" s="27" t="n">
        <v>130</v>
      </c>
      <c r="B133" s="28" t="n"/>
      <c r="C133" s="29" t="n"/>
      <c r="D133" s="27" t="n"/>
      <c r="E133" s="27" t="n"/>
      <c r="F133" s="27" t="n"/>
      <c r="G133" s="30" t="n"/>
      <c r="H133" s="30" t="n"/>
      <c r="I133" s="30" t="n"/>
      <c r="J133" s="30">
        <f>IF(G133&lt;&gt;"",G133,IF(OR(H133="",I133=""),"",H133+I133))</f>
        <v/>
      </c>
      <c r="K133" s="28" t="n"/>
      <c r="L133" s="29" t="n"/>
      <c r="M133" s="31">
        <f>IF(OR(B133="",K133=""),"",B133-K133)</f>
        <v/>
      </c>
      <c r="N133" s="29">
        <f>IF(OR(C133="",L133=""),"",C133-L133)</f>
        <v/>
      </c>
    </row>
    <row r="134" ht="22" customHeight="1">
      <c r="A134" s="22" t="n">
        <v>131</v>
      </c>
      <c r="B134" s="23" t="n"/>
      <c r="C134" s="24" t="n"/>
      <c r="D134" s="22" t="n"/>
      <c r="E134" s="22" t="n"/>
      <c r="F134" s="22" t="n"/>
      <c r="G134" s="25" t="n"/>
      <c r="H134" s="25" t="n"/>
      <c r="I134" s="25" t="n"/>
      <c r="J134" s="25">
        <f>IF(G134&lt;&gt;"",G134,IF(OR(H134="",I134=""),"",H134+I134))</f>
        <v/>
      </c>
      <c r="K134" s="23" t="n"/>
      <c r="L134" s="24" t="n"/>
      <c r="M134" s="26">
        <f>IF(OR(B134="",K134=""),"",B134-K134)</f>
        <v/>
      </c>
      <c r="N134" s="24">
        <f>IF(OR(C134="",L134=""),"",C134-L134)</f>
        <v/>
      </c>
    </row>
    <row r="135" ht="22" customHeight="1">
      <c r="A135" s="27" t="n">
        <v>132</v>
      </c>
      <c r="B135" s="28" t="n"/>
      <c r="C135" s="29" t="n"/>
      <c r="D135" s="27" t="n"/>
      <c r="E135" s="27" t="n"/>
      <c r="F135" s="27" t="n"/>
      <c r="G135" s="30" t="n"/>
      <c r="H135" s="30" t="n"/>
      <c r="I135" s="30" t="n"/>
      <c r="J135" s="30">
        <f>IF(G135&lt;&gt;"",G135,IF(OR(H135="",I135=""),"",H135+I135))</f>
        <v/>
      </c>
      <c r="K135" s="28" t="n"/>
      <c r="L135" s="29" t="n"/>
      <c r="M135" s="31">
        <f>IF(OR(B135="",K135=""),"",B135-K135)</f>
        <v/>
      </c>
      <c r="N135" s="29">
        <f>IF(OR(C135="",L135=""),"",C135-L135)</f>
        <v/>
      </c>
    </row>
    <row r="136" ht="22" customHeight="1">
      <c r="A136" s="22" t="n">
        <v>133</v>
      </c>
      <c r="B136" s="23" t="n"/>
      <c r="C136" s="24" t="n"/>
      <c r="D136" s="22" t="n"/>
      <c r="E136" s="22" t="n"/>
      <c r="F136" s="22" t="n"/>
      <c r="G136" s="25" t="n"/>
      <c r="H136" s="25" t="n"/>
      <c r="I136" s="25" t="n"/>
      <c r="J136" s="25">
        <f>IF(G136&lt;&gt;"",G136,IF(OR(H136="",I136=""),"",H136+I136))</f>
        <v/>
      </c>
      <c r="K136" s="23" t="n"/>
      <c r="L136" s="24" t="n"/>
      <c r="M136" s="26">
        <f>IF(OR(B136="",K136=""),"",B136-K136)</f>
        <v/>
      </c>
      <c r="N136" s="24">
        <f>IF(OR(C136="",L136=""),"",C136-L136)</f>
        <v/>
      </c>
    </row>
    <row r="137" ht="22" customHeight="1">
      <c r="A137" s="27" t="n">
        <v>134</v>
      </c>
      <c r="B137" s="28" t="n"/>
      <c r="C137" s="29" t="n"/>
      <c r="D137" s="27" t="n"/>
      <c r="E137" s="27" t="n"/>
      <c r="F137" s="27" t="n"/>
      <c r="G137" s="30" t="n"/>
      <c r="H137" s="30" t="n"/>
      <c r="I137" s="30" t="n"/>
      <c r="J137" s="30">
        <f>IF(G137&lt;&gt;"",G137,IF(OR(H137="",I137=""),"",H137+I137))</f>
        <v/>
      </c>
      <c r="K137" s="28" t="n"/>
      <c r="L137" s="29" t="n"/>
      <c r="M137" s="31">
        <f>IF(OR(B137="",K137=""),"",B137-K137)</f>
        <v/>
      </c>
      <c r="N137" s="29">
        <f>IF(OR(C137="",L137=""),"",C137-L137)</f>
        <v/>
      </c>
    </row>
    <row r="138" ht="22" customHeight="1">
      <c r="A138" s="22" t="n">
        <v>135</v>
      </c>
      <c r="B138" s="23" t="n"/>
      <c r="C138" s="24" t="n"/>
      <c r="D138" s="22" t="n"/>
      <c r="E138" s="22" t="n"/>
      <c r="F138" s="22" t="n"/>
      <c r="G138" s="25" t="n"/>
      <c r="H138" s="25" t="n"/>
      <c r="I138" s="25" t="n"/>
      <c r="J138" s="25">
        <f>IF(G138&lt;&gt;"",G138,IF(OR(H138="",I138=""),"",H138+I138))</f>
        <v/>
      </c>
      <c r="K138" s="23" t="n"/>
      <c r="L138" s="24" t="n"/>
      <c r="M138" s="26">
        <f>IF(OR(B138="",K138=""),"",B138-K138)</f>
        <v/>
      </c>
      <c r="N138" s="24">
        <f>IF(OR(C138="",L138=""),"",C138-L138)</f>
        <v/>
      </c>
    </row>
    <row r="139" ht="22" customHeight="1">
      <c r="A139" s="27" t="n">
        <v>136</v>
      </c>
      <c r="B139" s="28" t="n"/>
      <c r="C139" s="29" t="n"/>
      <c r="D139" s="27" t="n"/>
      <c r="E139" s="27" t="n"/>
      <c r="F139" s="27" t="n"/>
      <c r="G139" s="30" t="n"/>
      <c r="H139" s="30" t="n"/>
      <c r="I139" s="30" t="n"/>
      <c r="J139" s="30">
        <f>IF(G139&lt;&gt;"",G139,IF(OR(H139="",I139=""),"",H139+I139))</f>
        <v/>
      </c>
      <c r="K139" s="28" t="n"/>
      <c r="L139" s="29" t="n"/>
      <c r="M139" s="31">
        <f>IF(OR(B139="",K139=""),"",B139-K139)</f>
        <v/>
      </c>
      <c r="N139" s="29">
        <f>IF(OR(C139="",L139=""),"",C139-L139)</f>
        <v/>
      </c>
    </row>
    <row r="140" ht="22" customHeight="1">
      <c r="A140" s="22" t="n">
        <v>137</v>
      </c>
      <c r="B140" s="23" t="n"/>
      <c r="C140" s="24" t="n"/>
      <c r="D140" s="22" t="n"/>
      <c r="E140" s="22" t="n"/>
      <c r="F140" s="22" t="n"/>
      <c r="G140" s="25" t="n"/>
      <c r="H140" s="25" t="n"/>
      <c r="I140" s="25" t="n"/>
      <c r="J140" s="25">
        <f>IF(G140&lt;&gt;"",G140,IF(OR(H140="",I140=""),"",H140+I140))</f>
        <v/>
      </c>
      <c r="K140" s="23" t="n"/>
      <c r="L140" s="24" t="n"/>
      <c r="M140" s="26">
        <f>IF(OR(B140="",K140=""),"",B140-K140)</f>
        <v/>
      </c>
      <c r="N140" s="24">
        <f>IF(OR(C140="",L140=""),"",C140-L140)</f>
        <v/>
      </c>
    </row>
    <row r="141" ht="22" customHeight="1">
      <c r="A141" s="27" t="n">
        <v>138</v>
      </c>
      <c r="B141" s="28" t="n"/>
      <c r="C141" s="29" t="n"/>
      <c r="D141" s="27" t="n"/>
      <c r="E141" s="27" t="n"/>
      <c r="F141" s="27" t="n"/>
      <c r="G141" s="30" t="n"/>
      <c r="H141" s="30" t="n"/>
      <c r="I141" s="30" t="n"/>
      <c r="J141" s="30">
        <f>IF(G141&lt;&gt;"",G141,IF(OR(H141="",I141=""),"",H141+I141))</f>
        <v/>
      </c>
      <c r="K141" s="28" t="n"/>
      <c r="L141" s="29" t="n"/>
      <c r="M141" s="31">
        <f>IF(OR(B141="",K141=""),"",B141-K141)</f>
        <v/>
      </c>
      <c r="N141" s="29">
        <f>IF(OR(C141="",L141=""),"",C141-L141)</f>
        <v/>
      </c>
    </row>
    <row r="142" ht="22" customHeight="1">
      <c r="A142" s="22" t="n">
        <v>139</v>
      </c>
      <c r="B142" s="23" t="n"/>
      <c r="C142" s="24" t="n"/>
      <c r="D142" s="22" t="n"/>
      <c r="E142" s="22" t="n"/>
      <c r="F142" s="22" t="n"/>
      <c r="G142" s="25" t="n"/>
      <c r="H142" s="25" t="n"/>
      <c r="I142" s="25" t="n"/>
      <c r="J142" s="25">
        <f>IF(G142&lt;&gt;"",G142,IF(OR(H142="",I142=""),"",H142+I142))</f>
        <v/>
      </c>
      <c r="K142" s="23" t="n"/>
      <c r="L142" s="24" t="n"/>
      <c r="M142" s="26">
        <f>IF(OR(B142="",K142=""),"",B142-K142)</f>
        <v/>
      </c>
      <c r="N142" s="24">
        <f>IF(OR(C142="",L142=""),"",C142-L142)</f>
        <v/>
      </c>
    </row>
    <row r="143" ht="22" customHeight="1">
      <c r="A143" s="27" t="n">
        <v>140</v>
      </c>
      <c r="B143" s="28" t="n"/>
      <c r="C143" s="29" t="n"/>
      <c r="D143" s="27" t="n"/>
      <c r="E143" s="27" t="n"/>
      <c r="F143" s="27" t="n"/>
      <c r="G143" s="30" t="n"/>
      <c r="H143" s="30" t="n"/>
      <c r="I143" s="30" t="n"/>
      <c r="J143" s="30">
        <f>IF(G143&lt;&gt;"",G143,IF(OR(H143="",I143=""),"",H143+I143))</f>
        <v/>
      </c>
      <c r="K143" s="28" t="n"/>
      <c r="L143" s="29" t="n"/>
      <c r="M143" s="31">
        <f>IF(OR(B143="",K143=""),"",B143-K143)</f>
        <v/>
      </c>
      <c r="N143" s="29">
        <f>IF(OR(C143="",L143=""),"",C143-L143)</f>
        <v/>
      </c>
    </row>
    <row r="144" ht="22" customHeight="1">
      <c r="A144" s="22" t="n">
        <v>141</v>
      </c>
      <c r="B144" s="23" t="n"/>
      <c r="C144" s="24" t="n"/>
      <c r="D144" s="22" t="n"/>
      <c r="E144" s="22" t="n"/>
      <c r="F144" s="22" t="n"/>
      <c r="G144" s="25" t="n"/>
      <c r="H144" s="25" t="n"/>
      <c r="I144" s="25" t="n"/>
      <c r="J144" s="25">
        <f>IF(G144&lt;&gt;"",G144,IF(OR(H144="",I144=""),"",H144+I144))</f>
        <v/>
      </c>
      <c r="K144" s="23" t="n"/>
      <c r="L144" s="24" t="n"/>
      <c r="M144" s="26">
        <f>IF(OR(B144="",K144=""),"",B144-K144)</f>
        <v/>
      </c>
      <c r="N144" s="24">
        <f>IF(OR(C144="",L144=""),"",C144-L144)</f>
        <v/>
      </c>
    </row>
    <row r="145" ht="22" customHeight="1">
      <c r="A145" s="27" t="n">
        <v>142</v>
      </c>
      <c r="B145" s="28" t="n"/>
      <c r="C145" s="29" t="n"/>
      <c r="D145" s="27" t="n"/>
      <c r="E145" s="27" t="n"/>
      <c r="F145" s="27" t="n"/>
      <c r="G145" s="30" t="n"/>
      <c r="H145" s="30" t="n"/>
      <c r="I145" s="30" t="n"/>
      <c r="J145" s="30">
        <f>IF(G145&lt;&gt;"",G145,IF(OR(H145="",I145=""),"",H145+I145))</f>
        <v/>
      </c>
      <c r="K145" s="28" t="n"/>
      <c r="L145" s="29" t="n"/>
      <c r="M145" s="31">
        <f>IF(OR(B145="",K145=""),"",B145-K145)</f>
        <v/>
      </c>
      <c r="N145" s="29">
        <f>IF(OR(C145="",L145=""),"",C145-L145)</f>
        <v/>
      </c>
    </row>
    <row r="146" ht="22" customHeight="1">
      <c r="A146" s="22" t="n">
        <v>143</v>
      </c>
      <c r="B146" s="23" t="n"/>
      <c r="C146" s="24" t="n"/>
      <c r="D146" s="22" t="n"/>
      <c r="E146" s="22" t="n"/>
      <c r="F146" s="22" t="n"/>
      <c r="G146" s="25" t="n"/>
      <c r="H146" s="25" t="n"/>
      <c r="I146" s="25" t="n"/>
      <c r="J146" s="25">
        <f>IF(G146&lt;&gt;"",G146,IF(OR(H146="",I146=""),"",H146+I146))</f>
        <v/>
      </c>
      <c r="K146" s="23" t="n"/>
      <c r="L146" s="24" t="n"/>
      <c r="M146" s="26">
        <f>IF(OR(B146="",K146=""),"",B146-K146)</f>
        <v/>
      </c>
      <c r="N146" s="24">
        <f>IF(OR(C146="",L146=""),"",C146-L146)</f>
        <v/>
      </c>
    </row>
    <row r="147" ht="22" customHeight="1">
      <c r="A147" s="27" t="n">
        <v>144</v>
      </c>
      <c r="B147" s="28" t="n"/>
      <c r="C147" s="29" t="n"/>
      <c r="D147" s="27" t="n"/>
      <c r="E147" s="27" t="n"/>
      <c r="F147" s="27" t="n"/>
      <c r="G147" s="30" t="n"/>
      <c r="H147" s="30" t="n"/>
      <c r="I147" s="30" t="n"/>
      <c r="J147" s="30">
        <f>IF(G147&lt;&gt;"",G147,IF(OR(H147="",I147=""),"",H147+I147))</f>
        <v/>
      </c>
      <c r="K147" s="28" t="n"/>
      <c r="L147" s="29" t="n"/>
      <c r="M147" s="31">
        <f>IF(OR(B147="",K147=""),"",B147-K147)</f>
        <v/>
      </c>
      <c r="N147" s="29">
        <f>IF(OR(C147="",L147=""),"",C147-L147)</f>
        <v/>
      </c>
    </row>
    <row r="148" ht="22" customHeight="1">
      <c r="A148" s="22" t="n">
        <v>145</v>
      </c>
      <c r="B148" s="23" t="n"/>
      <c r="C148" s="24" t="n"/>
      <c r="D148" s="22" t="n"/>
      <c r="E148" s="22" t="n"/>
      <c r="F148" s="22" t="n"/>
      <c r="G148" s="25" t="n"/>
      <c r="H148" s="25" t="n"/>
      <c r="I148" s="25" t="n"/>
      <c r="J148" s="25">
        <f>IF(G148&lt;&gt;"",G148,IF(OR(H148="",I148=""),"",H148+I148))</f>
        <v/>
      </c>
      <c r="K148" s="23" t="n"/>
      <c r="L148" s="24" t="n"/>
      <c r="M148" s="26">
        <f>IF(OR(B148="",K148=""),"",B148-K148)</f>
        <v/>
      </c>
      <c r="N148" s="24">
        <f>IF(OR(C148="",L148=""),"",C148-L148)</f>
        <v/>
      </c>
    </row>
    <row r="149" ht="22" customHeight="1">
      <c r="A149" s="27" t="n">
        <v>146</v>
      </c>
      <c r="B149" s="28" t="n"/>
      <c r="C149" s="29" t="n"/>
      <c r="D149" s="27" t="n"/>
      <c r="E149" s="27" t="n"/>
      <c r="F149" s="27" t="n"/>
      <c r="G149" s="30" t="n"/>
      <c r="H149" s="30" t="n"/>
      <c r="I149" s="30" t="n"/>
      <c r="J149" s="30">
        <f>IF(G149&lt;&gt;"",G149,IF(OR(H149="",I149=""),"",H149+I149))</f>
        <v/>
      </c>
      <c r="K149" s="28" t="n"/>
      <c r="L149" s="29" t="n"/>
      <c r="M149" s="31">
        <f>IF(OR(B149="",K149=""),"",B149-K149)</f>
        <v/>
      </c>
      <c r="N149" s="29">
        <f>IF(OR(C149="",L149=""),"",C149-L149)</f>
        <v/>
      </c>
    </row>
    <row r="150" ht="22" customHeight="1">
      <c r="A150" s="22" t="n">
        <v>147</v>
      </c>
      <c r="B150" s="23" t="n"/>
      <c r="C150" s="24" t="n"/>
      <c r="D150" s="22" t="n"/>
      <c r="E150" s="22" t="n"/>
      <c r="F150" s="22" t="n"/>
      <c r="G150" s="25" t="n"/>
      <c r="H150" s="25" t="n"/>
      <c r="I150" s="25" t="n"/>
      <c r="J150" s="25">
        <f>IF(G150&lt;&gt;"",G150,IF(OR(H150="",I150=""),"",H150+I150))</f>
        <v/>
      </c>
      <c r="K150" s="23" t="n"/>
      <c r="L150" s="24" t="n"/>
      <c r="M150" s="26">
        <f>IF(OR(B150="",K150=""),"",B150-K150)</f>
        <v/>
      </c>
      <c r="N150" s="24">
        <f>IF(OR(C150="",L150=""),"",C150-L150)</f>
        <v/>
      </c>
    </row>
    <row r="151" ht="22" customHeight="1">
      <c r="A151" s="27" t="n">
        <v>148</v>
      </c>
      <c r="B151" s="28" t="n"/>
      <c r="C151" s="29" t="n"/>
      <c r="D151" s="27" t="n"/>
      <c r="E151" s="27" t="n"/>
      <c r="F151" s="27" t="n"/>
      <c r="G151" s="30" t="n"/>
      <c r="H151" s="30" t="n"/>
      <c r="I151" s="30" t="n"/>
      <c r="J151" s="30">
        <f>IF(G151&lt;&gt;"",G151,IF(OR(H151="",I151=""),"",H151+I151))</f>
        <v/>
      </c>
      <c r="K151" s="28" t="n"/>
      <c r="L151" s="29" t="n"/>
      <c r="M151" s="31">
        <f>IF(OR(B151="",K151=""),"",B151-K151)</f>
        <v/>
      </c>
      <c r="N151" s="29">
        <f>IF(OR(C151="",L151=""),"",C151-L151)</f>
        <v/>
      </c>
    </row>
    <row r="152" ht="22" customHeight="1">
      <c r="A152" s="22" t="n">
        <v>149</v>
      </c>
      <c r="B152" s="23" t="n"/>
      <c r="C152" s="24" t="n"/>
      <c r="D152" s="22" t="n"/>
      <c r="E152" s="22" t="n"/>
      <c r="F152" s="22" t="n"/>
      <c r="G152" s="25" t="n"/>
      <c r="H152" s="25" t="n"/>
      <c r="I152" s="25" t="n"/>
      <c r="J152" s="25">
        <f>IF(G152&lt;&gt;"",G152,IF(OR(H152="",I152=""),"",H152+I152))</f>
        <v/>
      </c>
      <c r="K152" s="23" t="n"/>
      <c r="L152" s="24" t="n"/>
      <c r="M152" s="26">
        <f>IF(OR(B152="",K152=""),"",B152-K152)</f>
        <v/>
      </c>
      <c r="N152" s="24">
        <f>IF(OR(C152="",L152=""),"",C152-L152)</f>
        <v/>
      </c>
    </row>
    <row r="153" ht="22" customHeight="1">
      <c r="A153" s="27" t="n">
        <v>150</v>
      </c>
      <c r="B153" s="28" t="n"/>
      <c r="C153" s="29" t="n"/>
      <c r="D153" s="27" t="n"/>
      <c r="E153" s="27" t="n"/>
      <c r="F153" s="27" t="n"/>
      <c r="G153" s="30" t="n"/>
      <c r="H153" s="30" t="n"/>
      <c r="I153" s="30" t="n"/>
      <c r="J153" s="30">
        <f>IF(G153&lt;&gt;"",G153,IF(OR(H153="",I153=""),"",H153+I153))</f>
        <v/>
      </c>
      <c r="K153" s="28" t="n"/>
      <c r="L153" s="29" t="n"/>
      <c r="M153" s="31">
        <f>IF(OR(B153="",K153=""),"",B153-K153)</f>
        <v/>
      </c>
      <c r="N153" s="29">
        <f>IF(OR(C153="",L153=""),"",C153-L153)</f>
        <v/>
      </c>
    </row>
    <row r="154">
      <c r="A154" s="35" t="inlineStr">
        <is>
          <t>TOTAL GASTO EM CORRETIVA</t>
        </is>
      </c>
      <c r="B154" s="36" t="n"/>
      <c r="C154" s="36" t="n"/>
      <c r="D154" s="36" t="n"/>
      <c r="E154" s="36" t="n"/>
      <c r="F154" s="36" t="n"/>
      <c r="G154" s="36" t="n"/>
      <c r="H154" s="36" t="n"/>
      <c r="I154" s="36" t="n"/>
      <c r="J154" s="37">
        <f>SUM(J4:J153)</f>
        <v/>
      </c>
      <c r="K154" s="36" t="n"/>
      <c r="L154" s="36" t="n"/>
      <c r="M154" s="36" t="n"/>
      <c r="N154" s="36" t="n"/>
    </row>
  </sheetData>
  <autoFilter ref="A3:N153"/>
  <mergeCells count="2">
    <mergeCell ref="A154:I154"/>
    <mergeCell ref="A1:N1"/>
  </mergeCells>
  <conditionalFormatting sqref="J4:J153">
    <cfRule type="cellIs" priority="1" operator="greaterThan" dxfId="0">
      <formula>1000</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showDropDown="0" showInputMessage="0" showErrorMessage="0" allowBlank="1" type="list">
      <formula1>=$P$1:$P$50</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1A5276"/>
    <outlinePr summaryBelow="1" summaryRight="1"/>
    <pageSetUpPr fitToPage="1"/>
  </sheetPr>
  <dimension ref="A1:N84"/>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20" customWidth="1" min="3" max="3"/>
    <col width="22" customWidth="1" min="4" max="4"/>
    <col width="28" customWidth="1" min="5" max="5"/>
    <col width="18" customWidth="1" min="6" max="6"/>
    <col width="6" customWidth="1" min="7" max="7"/>
    <col width="16" customWidth="1" min="8" max="8"/>
    <col width="18" customWidth="1" min="9" max="9"/>
    <col width="18" customWidth="1" min="10" max="10"/>
    <col width="20" customWidth="1" min="11" max="11"/>
    <col width="14" customWidth="1" min="12" max="12"/>
    <col width="18" customWidth="1" min="13" max="13"/>
    <col width="28" customWidth="1" min="14" max="14"/>
  </cols>
  <sheetData>
    <row r="1" ht="38" customHeight="1">
      <c r="A1" s="20" t="inlineStr">
        <is>
          <t>CONTROLE DE PNEUS — HR HYUNDAI 2018</t>
        </is>
      </c>
      <c r="B1" s="21" t="n"/>
      <c r="C1" s="21" t="n"/>
      <c r="D1" s="21" t="n"/>
      <c r="E1" s="21" t="n"/>
      <c r="F1" s="21" t="n"/>
      <c r="G1" s="21" t="n"/>
      <c r="H1" s="21" t="n"/>
      <c r="I1" s="21" t="n"/>
      <c r="J1" s="21" t="n"/>
      <c r="K1" s="21" t="n"/>
      <c r="L1" s="21" t="n"/>
      <c r="M1" s="21" t="n"/>
      <c r="N1" s="21" t="n"/>
    </row>
    <row r="2">
      <c r="A2" s="38" t="inlineStr">
        <is>
          <t>Medida padrão: 205/75 R16</t>
        </is>
      </c>
    </row>
    <row r="3" ht="32" customHeight="1">
      <c r="A3" s="12" t="inlineStr">
        <is>
          <t>Nº</t>
        </is>
      </c>
      <c r="B3" s="12" t="inlineStr">
        <is>
          <t>Data Compra</t>
        </is>
      </c>
      <c r="C3" s="12" t="inlineStr">
        <is>
          <t>Odômetro Compra (km)</t>
        </is>
      </c>
      <c r="D3" s="12" t="inlineStr">
        <is>
          <t>Posição (DE/DD/TE/TD/Estepe)</t>
        </is>
      </c>
      <c r="E3" s="12" t="inlineStr">
        <is>
          <t>Marca / Modelo Pneu</t>
        </is>
      </c>
      <c r="F3" s="12" t="inlineStr">
        <is>
          <t>Valor Unitário (R$)</t>
        </is>
      </c>
      <c r="G3" s="12" t="inlineStr">
        <is>
          <t>Qtd</t>
        </is>
      </c>
      <c r="H3" s="12" t="inlineStr">
        <is>
          <t>Valor Total (R$)</t>
        </is>
      </c>
      <c r="I3" s="12" t="inlineStr">
        <is>
          <t>Data Troca / Descarte</t>
        </is>
      </c>
      <c r="J3" s="12" t="inlineStr">
        <is>
          <t>Odômetro Troca (km)</t>
        </is>
      </c>
      <c r="K3" s="12" t="inlineStr">
        <is>
          <t>Km Rodados (Vida Útil)</t>
        </is>
      </c>
      <c r="L3" s="12" t="inlineStr">
        <is>
          <t>Dias de Uso</t>
        </is>
      </c>
      <c r="M3" s="12" t="inlineStr">
        <is>
          <t>Custo por Km (R$/km)</t>
        </is>
      </c>
      <c r="N3" s="12" t="inlineStr">
        <is>
          <t>Motivo Troca</t>
        </is>
      </c>
    </row>
    <row r="4" ht="22" customHeight="1">
      <c r="A4" s="22" t="n">
        <v>1</v>
      </c>
      <c r="B4" s="23" t="n"/>
      <c r="C4" s="24" t="n"/>
      <c r="D4" s="22" t="n"/>
      <c r="E4" s="22" t="n"/>
      <c r="F4" s="25" t="n"/>
      <c r="G4" s="26" t="n"/>
      <c r="H4" s="25">
        <f>IF(OR(F4="",G4=""),"",F4*G4)</f>
        <v/>
      </c>
      <c r="I4" s="23" t="n"/>
      <c r="J4" s="24" t="n"/>
      <c r="K4" s="24">
        <f>IF(OR(C4="",J4=""),"",J4-C4)</f>
        <v/>
      </c>
      <c r="L4" s="26">
        <f>IF(OR(B4="",I4=""),"",I4-B4)</f>
        <v/>
      </c>
      <c r="M4" s="39">
        <f>IF(OR(H4="",K4="",K4=0),"",H4/K4)</f>
        <v/>
      </c>
      <c r="N4" s="22" t="n"/>
    </row>
    <row r="5" ht="22" customHeight="1">
      <c r="A5" s="27" t="n">
        <v>2</v>
      </c>
      <c r="B5" s="28" t="n"/>
      <c r="C5" s="29" t="n"/>
      <c r="D5" s="27" t="n"/>
      <c r="E5" s="27" t="n"/>
      <c r="F5" s="30" t="n"/>
      <c r="G5" s="31" t="n"/>
      <c r="H5" s="30">
        <f>IF(OR(F5="",G5=""),"",F5*G5)</f>
        <v/>
      </c>
      <c r="I5" s="28" t="n"/>
      <c r="J5" s="29" t="n"/>
      <c r="K5" s="29">
        <f>IF(OR(C5="",J5=""),"",J5-C5)</f>
        <v/>
      </c>
      <c r="L5" s="31">
        <f>IF(OR(B5="",I5=""),"",I5-B5)</f>
        <v/>
      </c>
      <c r="M5" s="40">
        <f>IF(OR(H5="",K5="",K5=0),"",H5/K5)</f>
        <v/>
      </c>
      <c r="N5" s="27" t="n"/>
    </row>
    <row r="6" ht="22" customHeight="1">
      <c r="A6" s="22" t="n">
        <v>3</v>
      </c>
      <c r="B6" s="23" t="n"/>
      <c r="C6" s="24" t="n"/>
      <c r="D6" s="22" t="n"/>
      <c r="E6" s="22" t="n"/>
      <c r="F6" s="25" t="n"/>
      <c r="G6" s="26" t="n"/>
      <c r="H6" s="25">
        <f>IF(OR(F6="",G6=""),"",F6*G6)</f>
        <v/>
      </c>
      <c r="I6" s="23" t="n"/>
      <c r="J6" s="24" t="n"/>
      <c r="K6" s="24">
        <f>IF(OR(C6="",J6=""),"",J6-C6)</f>
        <v/>
      </c>
      <c r="L6" s="26">
        <f>IF(OR(B6="",I6=""),"",I6-B6)</f>
        <v/>
      </c>
      <c r="M6" s="39">
        <f>IF(OR(H6="",K6="",K6=0),"",H6/K6)</f>
        <v/>
      </c>
      <c r="N6" s="22" t="n"/>
    </row>
    <row r="7" ht="22" customHeight="1">
      <c r="A7" s="27" t="n">
        <v>4</v>
      </c>
      <c r="B7" s="28" t="n"/>
      <c r="C7" s="29" t="n"/>
      <c r="D7" s="27" t="n"/>
      <c r="E7" s="27" t="n"/>
      <c r="F7" s="30" t="n"/>
      <c r="G7" s="31" t="n"/>
      <c r="H7" s="30">
        <f>IF(OR(F7="",G7=""),"",F7*G7)</f>
        <v/>
      </c>
      <c r="I7" s="28" t="n"/>
      <c r="J7" s="29" t="n"/>
      <c r="K7" s="29">
        <f>IF(OR(C7="",J7=""),"",J7-C7)</f>
        <v/>
      </c>
      <c r="L7" s="31">
        <f>IF(OR(B7="",I7=""),"",I7-B7)</f>
        <v/>
      </c>
      <c r="M7" s="40">
        <f>IF(OR(H7="",K7="",K7=0),"",H7/K7)</f>
        <v/>
      </c>
      <c r="N7" s="27" t="n"/>
    </row>
    <row r="8" ht="22" customHeight="1">
      <c r="A8" s="22" t="n">
        <v>5</v>
      </c>
      <c r="B8" s="23" t="n"/>
      <c r="C8" s="24" t="n"/>
      <c r="D8" s="22" t="n"/>
      <c r="E8" s="22" t="n"/>
      <c r="F8" s="25" t="n"/>
      <c r="G8" s="26" t="n"/>
      <c r="H8" s="25">
        <f>IF(OR(F8="",G8=""),"",F8*G8)</f>
        <v/>
      </c>
      <c r="I8" s="23" t="n"/>
      <c r="J8" s="24" t="n"/>
      <c r="K8" s="24">
        <f>IF(OR(C8="",J8=""),"",J8-C8)</f>
        <v/>
      </c>
      <c r="L8" s="26">
        <f>IF(OR(B8="",I8=""),"",I8-B8)</f>
        <v/>
      </c>
      <c r="M8" s="39">
        <f>IF(OR(H8="",K8="",K8=0),"",H8/K8)</f>
        <v/>
      </c>
      <c r="N8" s="22" t="n"/>
    </row>
    <row r="9" ht="22" customHeight="1">
      <c r="A9" s="27" t="n">
        <v>6</v>
      </c>
      <c r="B9" s="28" t="n"/>
      <c r="C9" s="29" t="n"/>
      <c r="D9" s="27" t="n"/>
      <c r="E9" s="27" t="n"/>
      <c r="F9" s="30" t="n"/>
      <c r="G9" s="31" t="n"/>
      <c r="H9" s="30">
        <f>IF(OR(F9="",G9=""),"",F9*G9)</f>
        <v/>
      </c>
      <c r="I9" s="28" t="n"/>
      <c r="J9" s="29" t="n"/>
      <c r="K9" s="29">
        <f>IF(OR(C9="",J9=""),"",J9-C9)</f>
        <v/>
      </c>
      <c r="L9" s="31">
        <f>IF(OR(B9="",I9=""),"",I9-B9)</f>
        <v/>
      </c>
      <c r="M9" s="40">
        <f>IF(OR(H9="",K9="",K9=0),"",H9/K9)</f>
        <v/>
      </c>
      <c r="N9" s="27" t="n"/>
    </row>
    <row r="10" ht="22" customHeight="1">
      <c r="A10" s="22" t="n">
        <v>7</v>
      </c>
      <c r="B10" s="23" t="n"/>
      <c r="C10" s="24" t="n"/>
      <c r="D10" s="22" t="n"/>
      <c r="E10" s="22" t="n"/>
      <c r="F10" s="25" t="n"/>
      <c r="G10" s="26" t="n"/>
      <c r="H10" s="25">
        <f>IF(OR(F10="",G10=""),"",F10*G10)</f>
        <v/>
      </c>
      <c r="I10" s="23" t="n"/>
      <c r="J10" s="24" t="n"/>
      <c r="K10" s="24">
        <f>IF(OR(C10="",J10=""),"",J10-C10)</f>
        <v/>
      </c>
      <c r="L10" s="26">
        <f>IF(OR(B10="",I10=""),"",I10-B10)</f>
        <v/>
      </c>
      <c r="M10" s="39">
        <f>IF(OR(H10="",K10="",K10=0),"",H10/K10)</f>
        <v/>
      </c>
      <c r="N10" s="22" t="n"/>
    </row>
    <row r="11" ht="22" customHeight="1">
      <c r="A11" s="27" t="n">
        <v>8</v>
      </c>
      <c r="B11" s="28" t="n"/>
      <c r="C11" s="29" t="n"/>
      <c r="D11" s="27" t="n"/>
      <c r="E11" s="27" t="n"/>
      <c r="F11" s="30" t="n"/>
      <c r="G11" s="31" t="n"/>
      <c r="H11" s="30">
        <f>IF(OR(F11="",G11=""),"",F11*G11)</f>
        <v/>
      </c>
      <c r="I11" s="28" t="n"/>
      <c r="J11" s="29" t="n"/>
      <c r="K11" s="29">
        <f>IF(OR(C11="",J11=""),"",J11-C11)</f>
        <v/>
      </c>
      <c r="L11" s="31">
        <f>IF(OR(B11="",I11=""),"",I11-B11)</f>
        <v/>
      </c>
      <c r="M11" s="40">
        <f>IF(OR(H11="",K11="",K11=0),"",H11/K11)</f>
        <v/>
      </c>
      <c r="N11" s="27" t="n"/>
    </row>
    <row r="12" ht="22" customHeight="1">
      <c r="A12" s="22" t="n">
        <v>9</v>
      </c>
      <c r="B12" s="23" t="n"/>
      <c r="C12" s="24" t="n"/>
      <c r="D12" s="22" t="n"/>
      <c r="E12" s="22" t="n"/>
      <c r="F12" s="25" t="n"/>
      <c r="G12" s="26" t="n"/>
      <c r="H12" s="25">
        <f>IF(OR(F12="",G12=""),"",F12*G12)</f>
        <v/>
      </c>
      <c r="I12" s="23" t="n"/>
      <c r="J12" s="24" t="n"/>
      <c r="K12" s="24">
        <f>IF(OR(C12="",J12=""),"",J12-C12)</f>
        <v/>
      </c>
      <c r="L12" s="26">
        <f>IF(OR(B12="",I12=""),"",I12-B12)</f>
        <v/>
      </c>
      <c r="M12" s="39">
        <f>IF(OR(H12="",K12="",K12=0),"",H12/K12)</f>
        <v/>
      </c>
      <c r="N12" s="22" t="n"/>
    </row>
    <row r="13" ht="22" customHeight="1">
      <c r="A13" s="27" t="n">
        <v>10</v>
      </c>
      <c r="B13" s="28" t="n"/>
      <c r="C13" s="29" t="n"/>
      <c r="D13" s="27" t="n"/>
      <c r="E13" s="27" t="n"/>
      <c r="F13" s="30" t="n"/>
      <c r="G13" s="31" t="n"/>
      <c r="H13" s="30">
        <f>IF(OR(F13="",G13=""),"",F13*G13)</f>
        <v/>
      </c>
      <c r="I13" s="28" t="n"/>
      <c r="J13" s="29" t="n"/>
      <c r="K13" s="29">
        <f>IF(OR(C13="",J13=""),"",J13-C13)</f>
        <v/>
      </c>
      <c r="L13" s="31">
        <f>IF(OR(B13="",I13=""),"",I13-B13)</f>
        <v/>
      </c>
      <c r="M13" s="40">
        <f>IF(OR(H13="",K13="",K13=0),"",H13/K13)</f>
        <v/>
      </c>
      <c r="N13" s="27" t="n"/>
    </row>
    <row r="14" ht="22" customHeight="1">
      <c r="A14" s="22" t="n">
        <v>11</v>
      </c>
      <c r="B14" s="23" t="n"/>
      <c r="C14" s="24" t="n"/>
      <c r="D14" s="22" t="n"/>
      <c r="E14" s="22" t="n"/>
      <c r="F14" s="25" t="n"/>
      <c r="G14" s="26" t="n"/>
      <c r="H14" s="25">
        <f>IF(OR(F14="",G14=""),"",F14*G14)</f>
        <v/>
      </c>
      <c r="I14" s="23" t="n"/>
      <c r="J14" s="24" t="n"/>
      <c r="K14" s="24">
        <f>IF(OR(C14="",J14=""),"",J14-C14)</f>
        <v/>
      </c>
      <c r="L14" s="26">
        <f>IF(OR(B14="",I14=""),"",I14-B14)</f>
        <v/>
      </c>
      <c r="M14" s="39">
        <f>IF(OR(H14="",K14="",K14=0),"",H14/K14)</f>
        <v/>
      </c>
      <c r="N14" s="22" t="n"/>
    </row>
    <row r="15" ht="22" customHeight="1">
      <c r="A15" s="27" t="n">
        <v>12</v>
      </c>
      <c r="B15" s="28" t="n"/>
      <c r="C15" s="29" t="n"/>
      <c r="D15" s="27" t="n"/>
      <c r="E15" s="27" t="n"/>
      <c r="F15" s="30" t="n"/>
      <c r="G15" s="31" t="n"/>
      <c r="H15" s="30">
        <f>IF(OR(F15="",G15=""),"",F15*G15)</f>
        <v/>
      </c>
      <c r="I15" s="28" t="n"/>
      <c r="J15" s="29" t="n"/>
      <c r="K15" s="29">
        <f>IF(OR(C15="",J15=""),"",J15-C15)</f>
        <v/>
      </c>
      <c r="L15" s="31">
        <f>IF(OR(B15="",I15=""),"",I15-B15)</f>
        <v/>
      </c>
      <c r="M15" s="40">
        <f>IF(OR(H15="",K15="",K15=0),"",H15/K15)</f>
        <v/>
      </c>
      <c r="N15" s="27" t="n"/>
    </row>
    <row r="16" ht="22" customHeight="1">
      <c r="A16" s="22" t="n">
        <v>13</v>
      </c>
      <c r="B16" s="23" t="n"/>
      <c r="C16" s="24" t="n"/>
      <c r="D16" s="22" t="n"/>
      <c r="E16" s="22" t="n"/>
      <c r="F16" s="25" t="n"/>
      <c r="G16" s="26" t="n"/>
      <c r="H16" s="25">
        <f>IF(OR(F16="",G16=""),"",F16*G16)</f>
        <v/>
      </c>
      <c r="I16" s="23" t="n"/>
      <c r="J16" s="24" t="n"/>
      <c r="K16" s="24">
        <f>IF(OR(C16="",J16=""),"",J16-C16)</f>
        <v/>
      </c>
      <c r="L16" s="26">
        <f>IF(OR(B16="",I16=""),"",I16-B16)</f>
        <v/>
      </c>
      <c r="M16" s="39">
        <f>IF(OR(H16="",K16="",K16=0),"",H16/K16)</f>
        <v/>
      </c>
      <c r="N16" s="22" t="n"/>
    </row>
    <row r="17" ht="22" customHeight="1">
      <c r="A17" s="27" t="n">
        <v>14</v>
      </c>
      <c r="B17" s="28" t="n"/>
      <c r="C17" s="29" t="n"/>
      <c r="D17" s="27" t="n"/>
      <c r="E17" s="27" t="n"/>
      <c r="F17" s="30" t="n"/>
      <c r="G17" s="31" t="n"/>
      <c r="H17" s="30">
        <f>IF(OR(F17="",G17=""),"",F17*G17)</f>
        <v/>
      </c>
      <c r="I17" s="28" t="n"/>
      <c r="J17" s="29" t="n"/>
      <c r="K17" s="29">
        <f>IF(OR(C17="",J17=""),"",J17-C17)</f>
        <v/>
      </c>
      <c r="L17" s="31">
        <f>IF(OR(B17="",I17=""),"",I17-B17)</f>
        <v/>
      </c>
      <c r="M17" s="40">
        <f>IF(OR(H17="",K17="",K17=0),"",H17/K17)</f>
        <v/>
      </c>
      <c r="N17" s="27" t="n"/>
    </row>
    <row r="18" ht="22" customHeight="1">
      <c r="A18" s="22" t="n">
        <v>15</v>
      </c>
      <c r="B18" s="23" t="n"/>
      <c r="C18" s="24" t="n"/>
      <c r="D18" s="22" t="n"/>
      <c r="E18" s="22" t="n"/>
      <c r="F18" s="25" t="n"/>
      <c r="G18" s="26" t="n"/>
      <c r="H18" s="25">
        <f>IF(OR(F18="",G18=""),"",F18*G18)</f>
        <v/>
      </c>
      <c r="I18" s="23" t="n"/>
      <c r="J18" s="24" t="n"/>
      <c r="K18" s="24">
        <f>IF(OR(C18="",J18=""),"",J18-C18)</f>
        <v/>
      </c>
      <c r="L18" s="26">
        <f>IF(OR(B18="",I18=""),"",I18-B18)</f>
        <v/>
      </c>
      <c r="M18" s="39">
        <f>IF(OR(H18="",K18="",K18=0),"",H18/K18)</f>
        <v/>
      </c>
      <c r="N18" s="22" t="n"/>
    </row>
    <row r="19" ht="22" customHeight="1">
      <c r="A19" s="27" t="n">
        <v>16</v>
      </c>
      <c r="B19" s="28" t="n"/>
      <c r="C19" s="29" t="n"/>
      <c r="D19" s="27" t="n"/>
      <c r="E19" s="27" t="n"/>
      <c r="F19" s="30" t="n"/>
      <c r="G19" s="31" t="n"/>
      <c r="H19" s="30">
        <f>IF(OR(F19="",G19=""),"",F19*G19)</f>
        <v/>
      </c>
      <c r="I19" s="28" t="n"/>
      <c r="J19" s="29" t="n"/>
      <c r="K19" s="29">
        <f>IF(OR(C19="",J19=""),"",J19-C19)</f>
        <v/>
      </c>
      <c r="L19" s="31">
        <f>IF(OR(B19="",I19=""),"",I19-B19)</f>
        <v/>
      </c>
      <c r="M19" s="40">
        <f>IF(OR(H19="",K19="",K19=0),"",H19/K19)</f>
        <v/>
      </c>
      <c r="N19" s="27" t="n"/>
    </row>
    <row r="20" ht="22" customHeight="1">
      <c r="A20" s="22" t="n">
        <v>17</v>
      </c>
      <c r="B20" s="23" t="n"/>
      <c r="C20" s="24" t="n"/>
      <c r="D20" s="22" t="n"/>
      <c r="E20" s="22" t="n"/>
      <c r="F20" s="25" t="n"/>
      <c r="G20" s="26" t="n"/>
      <c r="H20" s="25">
        <f>IF(OR(F20="",G20=""),"",F20*G20)</f>
        <v/>
      </c>
      <c r="I20" s="23" t="n"/>
      <c r="J20" s="24" t="n"/>
      <c r="K20" s="24">
        <f>IF(OR(C20="",J20=""),"",J20-C20)</f>
        <v/>
      </c>
      <c r="L20" s="26">
        <f>IF(OR(B20="",I20=""),"",I20-B20)</f>
        <v/>
      </c>
      <c r="M20" s="39">
        <f>IF(OR(H20="",K20="",K20=0),"",H20/K20)</f>
        <v/>
      </c>
      <c r="N20" s="22" t="n"/>
    </row>
    <row r="21" ht="22" customHeight="1">
      <c r="A21" s="27" t="n">
        <v>18</v>
      </c>
      <c r="B21" s="28" t="n"/>
      <c r="C21" s="29" t="n"/>
      <c r="D21" s="27" t="n"/>
      <c r="E21" s="27" t="n"/>
      <c r="F21" s="30" t="n"/>
      <c r="G21" s="31" t="n"/>
      <c r="H21" s="30">
        <f>IF(OR(F21="",G21=""),"",F21*G21)</f>
        <v/>
      </c>
      <c r="I21" s="28" t="n"/>
      <c r="J21" s="29" t="n"/>
      <c r="K21" s="29">
        <f>IF(OR(C21="",J21=""),"",J21-C21)</f>
        <v/>
      </c>
      <c r="L21" s="31">
        <f>IF(OR(B21="",I21=""),"",I21-B21)</f>
        <v/>
      </c>
      <c r="M21" s="40">
        <f>IF(OR(H21="",K21="",K21=0),"",H21/K21)</f>
        <v/>
      </c>
      <c r="N21" s="27" t="n"/>
    </row>
    <row r="22" ht="22" customHeight="1">
      <c r="A22" s="22" t="n">
        <v>19</v>
      </c>
      <c r="B22" s="23" t="n"/>
      <c r="C22" s="24" t="n"/>
      <c r="D22" s="22" t="n"/>
      <c r="E22" s="22" t="n"/>
      <c r="F22" s="25" t="n"/>
      <c r="G22" s="26" t="n"/>
      <c r="H22" s="25">
        <f>IF(OR(F22="",G22=""),"",F22*G22)</f>
        <v/>
      </c>
      <c r="I22" s="23" t="n"/>
      <c r="J22" s="24" t="n"/>
      <c r="K22" s="24">
        <f>IF(OR(C22="",J22=""),"",J22-C22)</f>
        <v/>
      </c>
      <c r="L22" s="26">
        <f>IF(OR(B22="",I22=""),"",I22-B22)</f>
        <v/>
      </c>
      <c r="M22" s="39">
        <f>IF(OR(H22="",K22="",K22=0),"",H22/K22)</f>
        <v/>
      </c>
      <c r="N22" s="22" t="n"/>
    </row>
    <row r="23" ht="22" customHeight="1">
      <c r="A23" s="27" t="n">
        <v>20</v>
      </c>
      <c r="B23" s="28" t="n"/>
      <c r="C23" s="29" t="n"/>
      <c r="D23" s="27" t="n"/>
      <c r="E23" s="27" t="n"/>
      <c r="F23" s="30" t="n"/>
      <c r="G23" s="31" t="n"/>
      <c r="H23" s="30">
        <f>IF(OR(F23="",G23=""),"",F23*G23)</f>
        <v/>
      </c>
      <c r="I23" s="28" t="n"/>
      <c r="J23" s="29" t="n"/>
      <c r="K23" s="29">
        <f>IF(OR(C23="",J23=""),"",J23-C23)</f>
        <v/>
      </c>
      <c r="L23" s="31">
        <f>IF(OR(B23="",I23=""),"",I23-B23)</f>
        <v/>
      </c>
      <c r="M23" s="40">
        <f>IF(OR(H23="",K23="",K23=0),"",H23/K23)</f>
        <v/>
      </c>
      <c r="N23" s="27" t="n"/>
    </row>
    <row r="24" ht="22" customHeight="1">
      <c r="A24" s="22" t="n">
        <v>21</v>
      </c>
      <c r="B24" s="23" t="n"/>
      <c r="C24" s="24" t="n"/>
      <c r="D24" s="22" t="n"/>
      <c r="E24" s="22" t="n"/>
      <c r="F24" s="25" t="n"/>
      <c r="G24" s="26" t="n"/>
      <c r="H24" s="25">
        <f>IF(OR(F24="",G24=""),"",F24*G24)</f>
        <v/>
      </c>
      <c r="I24" s="23" t="n"/>
      <c r="J24" s="24" t="n"/>
      <c r="K24" s="24">
        <f>IF(OR(C24="",J24=""),"",J24-C24)</f>
        <v/>
      </c>
      <c r="L24" s="26">
        <f>IF(OR(B24="",I24=""),"",I24-B24)</f>
        <v/>
      </c>
      <c r="M24" s="39">
        <f>IF(OR(H24="",K24="",K24=0),"",H24/K24)</f>
        <v/>
      </c>
      <c r="N24" s="22" t="n"/>
    </row>
    <row r="25" ht="22" customHeight="1">
      <c r="A25" s="27" t="n">
        <v>22</v>
      </c>
      <c r="B25" s="28" t="n"/>
      <c r="C25" s="29" t="n"/>
      <c r="D25" s="27" t="n"/>
      <c r="E25" s="27" t="n"/>
      <c r="F25" s="30" t="n"/>
      <c r="G25" s="31" t="n"/>
      <c r="H25" s="30">
        <f>IF(OR(F25="",G25=""),"",F25*G25)</f>
        <v/>
      </c>
      <c r="I25" s="28" t="n"/>
      <c r="J25" s="29" t="n"/>
      <c r="K25" s="29">
        <f>IF(OR(C25="",J25=""),"",J25-C25)</f>
        <v/>
      </c>
      <c r="L25" s="31">
        <f>IF(OR(B25="",I25=""),"",I25-B25)</f>
        <v/>
      </c>
      <c r="M25" s="40">
        <f>IF(OR(H25="",K25="",K25=0),"",H25/K25)</f>
        <v/>
      </c>
      <c r="N25" s="27" t="n"/>
    </row>
    <row r="26" ht="22" customHeight="1">
      <c r="A26" s="22" t="n">
        <v>23</v>
      </c>
      <c r="B26" s="23" t="n"/>
      <c r="C26" s="24" t="n"/>
      <c r="D26" s="22" t="n"/>
      <c r="E26" s="22" t="n"/>
      <c r="F26" s="25" t="n"/>
      <c r="G26" s="26" t="n"/>
      <c r="H26" s="25">
        <f>IF(OR(F26="",G26=""),"",F26*G26)</f>
        <v/>
      </c>
      <c r="I26" s="23" t="n"/>
      <c r="J26" s="24" t="n"/>
      <c r="K26" s="24">
        <f>IF(OR(C26="",J26=""),"",J26-C26)</f>
        <v/>
      </c>
      <c r="L26" s="26">
        <f>IF(OR(B26="",I26=""),"",I26-B26)</f>
        <v/>
      </c>
      <c r="M26" s="39">
        <f>IF(OR(H26="",K26="",K26=0),"",H26/K26)</f>
        <v/>
      </c>
      <c r="N26" s="22" t="n"/>
    </row>
    <row r="27" ht="22" customHeight="1">
      <c r="A27" s="27" t="n">
        <v>24</v>
      </c>
      <c r="B27" s="28" t="n"/>
      <c r="C27" s="29" t="n"/>
      <c r="D27" s="27" t="n"/>
      <c r="E27" s="27" t="n"/>
      <c r="F27" s="30" t="n"/>
      <c r="G27" s="31" t="n"/>
      <c r="H27" s="30">
        <f>IF(OR(F27="",G27=""),"",F27*G27)</f>
        <v/>
      </c>
      <c r="I27" s="28" t="n"/>
      <c r="J27" s="29" t="n"/>
      <c r="K27" s="29">
        <f>IF(OR(C27="",J27=""),"",J27-C27)</f>
        <v/>
      </c>
      <c r="L27" s="31">
        <f>IF(OR(B27="",I27=""),"",I27-B27)</f>
        <v/>
      </c>
      <c r="M27" s="40">
        <f>IF(OR(H27="",K27="",K27=0),"",H27/K27)</f>
        <v/>
      </c>
      <c r="N27" s="27" t="n"/>
    </row>
    <row r="28" ht="22" customHeight="1">
      <c r="A28" s="22" t="n">
        <v>25</v>
      </c>
      <c r="B28" s="23" t="n"/>
      <c r="C28" s="24" t="n"/>
      <c r="D28" s="22" t="n"/>
      <c r="E28" s="22" t="n"/>
      <c r="F28" s="25" t="n"/>
      <c r="G28" s="26" t="n"/>
      <c r="H28" s="25">
        <f>IF(OR(F28="",G28=""),"",F28*G28)</f>
        <v/>
      </c>
      <c r="I28" s="23" t="n"/>
      <c r="J28" s="24" t="n"/>
      <c r="K28" s="24">
        <f>IF(OR(C28="",J28=""),"",J28-C28)</f>
        <v/>
      </c>
      <c r="L28" s="26">
        <f>IF(OR(B28="",I28=""),"",I28-B28)</f>
        <v/>
      </c>
      <c r="M28" s="39">
        <f>IF(OR(H28="",K28="",K28=0),"",H28/K28)</f>
        <v/>
      </c>
      <c r="N28" s="22" t="n"/>
    </row>
    <row r="29" ht="22" customHeight="1">
      <c r="A29" s="27" t="n">
        <v>26</v>
      </c>
      <c r="B29" s="28" t="n"/>
      <c r="C29" s="29" t="n"/>
      <c r="D29" s="27" t="n"/>
      <c r="E29" s="27" t="n"/>
      <c r="F29" s="30" t="n"/>
      <c r="G29" s="31" t="n"/>
      <c r="H29" s="30">
        <f>IF(OR(F29="",G29=""),"",F29*G29)</f>
        <v/>
      </c>
      <c r="I29" s="28" t="n"/>
      <c r="J29" s="29" t="n"/>
      <c r="K29" s="29">
        <f>IF(OR(C29="",J29=""),"",J29-C29)</f>
        <v/>
      </c>
      <c r="L29" s="31">
        <f>IF(OR(B29="",I29=""),"",I29-B29)</f>
        <v/>
      </c>
      <c r="M29" s="40">
        <f>IF(OR(H29="",K29="",K29=0),"",H29/K29)</f>
        <v/>
      </c>
      <c r="N29" s="27" t="n"/>
    </row>
    <row r="30" ht="22" customHeight="1">
      <c r="A30" s="22" t="n">
        <v>27</v>
      </c>
      <c r="B30" s="23" t="n"/>
      <c r="C30" s="24" t="n"/>
      <c r="D30" s="22" t="n"/>
      <c r="E30" s="22" t="n"/>
      <c r="F30" s="25" t="n"/>
      <c r="G30" s="26" t="n"/>
      <c r="H30" s="25">
        <f>IF(OR(F30="",G30=""),"",F30*G30)</f>
        <v/>
      </c>
      <c r="I30" s="23" t="n"/>
      <c r="J30" s="24" t="n"/>
      <c r="K30" s="24">
        <f>IF(OR(C30="",J30=""),"",J30-C30)</f>
        <v/>
      </c>
      <c r="L30" s="26">
        <f>IF(OR(B30="",I30=""),"",I30-B30)</f>
        <v/>
      </c>
      <c r="M30" s="39">
        <f>IF(OR(H30="",K30="",K30=0),"",H30/K30)</f>
        <v/>
      </c>
      <c r="N30" s="22" t="n"/>
    </row>
    <row r="31" ht="22" customHeight="1">
      <c r="A31" s="27" t="n">
        <v>28</v>
      </c>
      <c r="B31" s="28" t="n"/>
      <c r="C31" s="29" t="n"/>
      <c r="D31" s="27" t="n"/>
      <c r="E31" s="27" t="n"/>
      <c r="F31" s="30" t="n"/>
      <c r="G31" s="31" t="n"/>
      <c r="H31" s="30">
        <f>IF(OR(F31="",G31=""),"",F31*G31)</f>
        <v/>
      </c>
      <c r="I31" s="28" t="n"/>
      <c r="J31" s="29" t="n"/>
      <c r="K31" s="29">
        <f>IF(OR(C31="",J31=""),"",J31-C31)</f>
        <v/>
      </c>
      <c r="L31" s="31">
        <f>IF(OR(B31="",I31=""),"",I31-B31)</f>
        <v/>
      </c>
      <c r="M31" s="40">
        <f>IF(OR(H31="",K31="",K31=0),"",H31/K31)</f>
        <v/>
      </c>
      <c r="N31" s="27" t="n"/>
    </row>
    <row r="32" ht="22" customHeight="1">
      <c r="A32" s="22" t="n">
        <v>29</v>
      </c>
      <c r="B32" s="23" t="n"/>
      <c r="C32" s="24" t="n"/>
      <c r="D32" s="22" t="n"/>
      <c r="E32" s="22" t="n"/>
      <c r="F32" s="25" t="n"/>
      <c r="G32" s="26" t="n"/>
      <c r="H32" s="25">
        <f>IF(OR(F32="",G32=""),"",F32*G32)</f>
        <v/>
      </c>
      <c r="I32" s="23" t="n"/>
      <c r="J32" s="24" t="n"/>
      <c r="K32" s="24">
        <f>IF(OR(C32="",J32=""),"",J32-C32)</f>
        <v/>
      </c>
      <c r="L32" s="26">
        <f>IF(OR(B32="",I32=""),"",I32-B32)</f>
        <v/>
      </c>
      <c r="M32" s="39">
        <f>IF(OR(H32="",K32="",K32=0),"",H32/K32)</f>
        <v/>
      </c>
      <c r="N32" s="22" t="n"/>
    </row>
    <row r="33" ht="22" customHeight="1">
      <c r="A33" s="27" t="n">
        <v>30</v>
      </c>
      <c r="B33" s="28" t="n"/>
      <c r="C33" s="29" t="n"/>
      <c r="D33" s="27" t="n"/>
      <c r="E33" s="27" t="n"/>
      <c r="F33" s="30" t="n"/>
      <c r="G33" s="31" t="n"/>
      <c r="H33" s="30">
        <f>IF(OR(F33="",G33=""),"",F33*G33)</f>
        <v/>
      </c>
      <c r="I33" s="28" t="n"/>
      <c r="J33" s="29" t="n"/>
      <c r="K33" s="29">
        <f>IF(OR(C33="",J33=""),"",J33-C33)</f>
        <v/>
      </c>
      <c r="L33" s="31">
        <f>IF(OR(B33="",I33=""),"",I33-B33)</f>
        <v/>
      </c>
      <c r="M33" s="40">
        <f>IF(OR(H33="",K33="",K33=0),"",H33/K33)</f>
        <v/>
      </c>
      <c r="N33" s="27" t="n"/>
    </row>
    <row r="34" ht="22" customHeight="1">
      <c r="A34" s="22" t="n">
        <v>31</v>
      </c>
      <c r="B34" s="23" t="n"/>
      <c r="C34" s="24" t="n"/>
      <c r="D34" s="22" t="n"/>
      <c r="E34" s="22" t="n"/>
      <c r="F34" s="25" t="n"/>
      <c r="G34" s="26" t="n"/>
      <c r="H34" s="25">
        <f>IF(OR(F34="",G34=""),"",F34*G34)</f>
        <v/>
      </c>
      <c r="I34" s="23" t="n"/>
      <c r="J34" s="24" t="n"/>
      <c r="K34" s="24">
        <f>IF(OR(C34="",J34=""),"",J34-C34)</f>
        <v/>
      </c>
      <c r="L34" s="26">
        <f>IF(OR(B34="",I34=""),"",I34-B34)</f>
        <v/>
      </c>
      <c r="M34" s="39">
        <f>IF(OR(H34="",K34="",K34=0),"",H34/K34)</f>
        <v/>
      </c>
      <c r="N34" s="22" t="n"/>
    </row>
    <row r="35" ht="22" customHeight="1">
      <c r="A35" s="27" t="n">
        <v>32</v>
      </c>
      <c r="B35" s="28" t="n"/>
      <c r="C35" s="29" t="n"/>
      <c r="D35" s="27" t="n"/>
      <c r="E35" s="27" t="n"/>
      <c r="F35" s="30" t="n"/>
      <c r="G35" s="31" t="n"/>
      <c r="H35" s="30">
        <f>IF(OR(F35="",G35=""),"",F35*G35)</f>
        <v/>
      </c>
      <c r="I35" s="28" t="n"/>
      <c r="J35" s="29" t="n"/>
      <c r="K35" s="29">
        <f>IF(OR(C35="",J35=""),"",J35-C35)</f>
        <v/>
      </c>
      <c r="L35" s="31">
        <f>IF(OR(B35="",I35=""),"",I35-B35)</f>
        <v/>
      </c>
      <c r="M35" s="40">
        <f>IF(OR(H35="",K35="",K35=0),"",H35/K35)</f>
        <v/>
      </c>
      <c r="N35" s="27" t="n"/>
    </row>
    <row r="36" ht="22" customHeight="1">
      <c r="A36" s="22" t="n">
        <v>33</v>
      </c>
      <c r="B36" s="23" t="n"/>
      <c r="C36" s="24" t="n"/>
      <c r="D36" s="22" t="n"/>
      <c r="E36" s="22" t="n"/>
      <c r="F36" s="25" t="n"/>
      <c r="G36" s="26" t="n"/>
      <c r="H36" s="25">
        <f>IF(OR(F36="",G36=""),"",F36*G36)</f>
        <v/>
      </c>
      <c r="I36" s="23" t="n"/>
      <c r="J36" s="24" t="n"/>
      <c r="K36" s="24">
        <f>IF(OR(C36="",J36=""),"",J36-C36)</f>
        <v/>
      </c>
      <c r="L36" s="26">
        <f>IF(OR(B36="",I36=""),"",I36-B36)</f>
        <v/>
      </c>
      <c r="M36" s="39">
        <f>IF(OR(H36="",K36="",K36=0),"",H36/K36)</f>
        <v/>
      </c>
      <c r="N36" s="22" t="n"/>
    </row>
    <row r="37" ht="22" customHeight="1">
      <c r="A37" s="27" t="n">
        <v>34</v>
      </c>
      <c r="B37" s="28" t="n"/>
      <c r="C37" s="29" t="n"/>
      <c r="D37" s="27" t="n"/>
      <c r="E37" s="27" t="n"/>
      <c r="F37" s="30" t="n"/>
      <c r="G37" s="31" t="n"/>
      <c r="H37" s="30">
        <f>IF(OR(F37="",G37=""),"",F37*G37)</f>
        <v/>
      </c>
      <c r="I37" s="28" t="n"/>
      <c r="J37" s="29" t="n"/>
      <c r="K37" s="29">
        <f>IF(OR(C37="",J37=""),"",J37-C37)</f>
        <v/>
      </c>
      <c r="L37" s="31">
        <f>IF(OR(B37="",I37=""),"",I37-B37)</f>
        <v/>
      </c>
      <c r="M37" s="40">
        <f>IF(OR(H37="",K37="",K37=0),"",H37/K37)</f>
        <v/>
      </c>
      <c r="N37" s="27" t="n"/>
    </row>
    <row r="38" ht="22" customHeight="1">
      <c r="A38" s="22" t="n">
        <v>35</v>
      </c>
      <c r="B38" s="23" t="n"/>
      <c r="C38" s="24" t="n"/>
      <c r="D38" s="22" t="n"/>
      <c r="E38" s="22" t="n"/>
      <c r="F38" s="25" t="n"/>
      <c r="G38" s="26" t="n"/>
      <c r="H38" s="25">
        <f>IF(OR(F38="",G38=""),"",F38*G38)</f>
        <v/>
      </c>
      <c r="I38" s="23" t="n"/>
      <c r="J38" s="24" t="n"/>
      <c r="K38" s="24">
        <f>IF(OR(C38="",J38=""),"",J38-C38)</f>
        <v/>
      </c>
      <c r="L38" s="26">
        <f>IF(OR(B38="",I38=""),"",I38-B38)</f>
        <v/>
      </c>
      <c r="M38" s="39">
        <f>IF(OR(H38="",K38="",K38=0),"",H38/K38)</f>
        <v/>
      </c>
      <c r="N38" s="22" t="n"/>
    </row>
    <row r="39" ht="22" customHeight="1">
      <c r="A39" s="27" t="n">
        <v>36</v>
      </c>
      <c r="B39" s="28" t="n"/>
      <c r="C39" s="29" t="n"/>
      <c r="D39" s="27" t="n"/>
      <c r="E39" s="27" t="n"/>
      <c r="F39" s="30" t="n"/>
      <c r="G39" s="31" t="n"/>
      <c r="H39" s="30">
        <f>IF(OR(F39="",G39=""),"",F39*G39)</f>
        <v/>
      </c>
      <c r="I39" s="28" t="n"/>
      <c r="J39" s="29" t="n"/>
      <c r="K39" s="29">
        <f>IF(OR(C39="",J39=""),"",J39-C39)</f>
        <v/>
      </c>
      <c r="L39" s="31">
        <f>IF(OR(B39="",I39=""),"",I39-B39)</f>
        <v/>
      </c>
      <c r="M39" s="40">
        <f>IF(OR(H39="",K39="",K39=0),"",H39/K39)</f>
        <v/>
      </c>
      <c r="N39" s="27" t="n"/>
    </row>
    <row r="40" ht="22" customHeight="1">
      <c r="A40" s="22" t="n">
        <v>37</v>
      </c>
      <c r="B40" s="23" t="n"/>
      <c r="C40" s="24" t="n"/>
      <c r="D40" s="22" t="n"/>
      <c r="E40" s="22" t="n"/>
      <c r="F40" s="25" t="n"/>
      <c r="G40" s="26" t="n"/>
      <c r="H40" s="25">
        <f>IF(OR(F40="",G40=""),"",F40*G40)</f>
        <v/>
      </c>
      <c r="I40" s="23" t="n"/>
      <c r="J40" s="24" t="n"/>
      <c r="K40" s="24">
        <f>IF(OR(C40="",J40=""),"",J40-C40)</f>
        <v/>
      </c>
      <c r="L40" s="26">
        <f>IF(OR(B40="",I40=""),"",I40-B40)</f>
        <v/>
      </c>
      <c r="M40" s="39">
        <f>IF(OR(H40="",K40="",K40=0),"",H40/K40)</f>
        <v/>
      </c>
      <c r="N40" s="22" t="n"/>
    </row>
    <row r="41" ht="22" customHeight="1">
      <c r="A41" s="27" t="n">
        <v>38</v>
      </c>
      <c r="B41" s="28" t="n"/>
      <c r="C41" s="29" t="n"/>
      <c r="D41" s="27" t="n"/>
      <c r="E41" s="27" t="n"/>
      <c r="F41" s="30" t="n"/>
      <c r="G41" s="31" t="n"/>
      <c r="H41" s="30">
        <f>IF(OR(F41="",G41=""),"",F41*G41)</f>
        <v/>
      </c>
      <c r="I41" s="28" t="n"/>
      <c r="J41" s="29" t="n"/>
      <c r="K41" s="29">
        <f>IF(OR(C41="",J41=""),"",J41-C41)</f>
        <v/>
      </c>
      <c r="L41" s="31">
        <f>IF(OR(B41="",I41=""),"",I41-B41)</f>
        <v/>
      </c>
      <c r="M41" s="40">
        <f>IF(OR(H41="",K41="",K41=0),"",H41/K41)</f>
        <v/>
      </c>
      <c r="N41" s="27" t="n"/>
    </row>
    <row r="42" ht="22" customHeight="1">
      <c r="A42" s="22" t="n">
        <v>39</v>
      </c>
      <c r="B42" s="23" t="n"/>
      <c r="C42" s="24" t="n"/>
      <c r="D42" s="22" t="n"/>
      <c r="E42" s="22" t="n"/>
      <c r="F42" s="25" t="n"/>
      <c r="G42" s="26" t="n"/>
      <c r="H42" s="25">
        <f>IF(OR(F42="",G42=""),"",F42*G42)</f>
        <v/>
      </c>
      <c r="I42" s="23" t="n"/>
      <c r="J42" s="24" t="n"/>
      <c r="K42" s="24">
        <f>IF(OR(C42="",J42=""),"",J42-C42)</f>
        <v/>
      </c>
      <c r="L42" s="26">
        <f>IF(OR(B42="",I42=""),"",I42-B42)</f>
        <v/>
      </c>
      <c r="M42" s="39">
        <f>IF(OR(H42="",K42="",K42=0),"",H42/K42)</f>
        <v/>
      </c>
      <c r="N42" s="22" t="n"/>
    </row>
    <row r="43" ht="22" customHeight="1">
      <c r="A43" s="27" t="n">
        <v>40</v>
      </c>
      <c r="B43" s="28" t="n"/>
      <c r="C43" s="29" t="n"/>
      <c r="D43" s="27" t="n"/>
      <c r="E43" s="27" t="n"/>
      <c r="F43" s="30" t="n"/>
      <c r="G43" s="31" t="n"/>
      <c r="H43" s="30">
        <f>IF(OR(F43="",G43=""),"",F43*G43)</f>
        <v/>
      </c>
      <c r="I43" s="28" t="n"/>
      <c r="J43" s="29" t="n"/>
      <c r="K43" s="29">
        <f>IF(OR(C43="",J43=""),"",J43-C43)</f>
        <v/>
      </c>
      <c r="L43" s="31">
        <f>IF(OR(B43="",I43=""),"",I43-B43)</f>
        <v/>
      </c>
      <c r="M43" s="40">
        <f>IF(OR(H43="",K43="",K43=0),"",H43/K43)</f>
        <v/>
      </c>
      <c r="N43" s="27" t="n"/>
    </row>
    <row r="44" ht="22" customHeight="1">
      <c r="A44" s="22" t="n">
        <v>41</v>
      </c>
      <c r="B44" s="23" t="n"/>
      <c r="C44" s="24" t="n"/>
      <c r="D44" s="22" t="n"/>
      <c r="E44" s="22" t="n"/>
      <c r="F44" s="25" t="n"/>
      <c r="G44" s="26" t="n"/>
      <c r="H44" s="25">
        <f>IF(OR(F44="",G44=""),"",F44*G44)</f>
        <v/>
      </c>
      <c r="I44" s="23" t="n"/>
      <c r="J44" s="24" t="n"/>
      <c r="K44" s="24">
        <f>IF(OR(C44="",J44=""),"",J44-C44)</f>
        <v/>
      </c>
      <c r="L44" s="26">
        <f>IF(OR(B44="",I44=""),"",I44-B44)</f>
        <v/>
      </c>
      <c r="M44" s="39">
        <f>IF(OR(H44="",K44="",K44=0),"",H44/K44)</f>
        <v/>
      </c>
      <c r="N44" s="22" t="n"/>
    </row>
    <row r="45" ht="22" customHeight="1">
      <c r="A45" s="27" t="n">
        <v>42</v>
      </c>
      <c r="B45" s="28" t="n"/>
      <c r="C45" s="29" t="n"/>
      <c r="D45" s="27" t="n"/>
      <c r="E45" s="27" t="n"/>
      <c r="F45" s="30" t="n"/>
      <c r="G45" s="31" t="n"/>
      <c r="H45" s="30">
        <f>IF(OR(F45="",G45=""),"",F45*G45)</f>
        <v/>
      </c>
      <c r="I45" s="28" t="n"/>
      <c r="J45" s="29" t="n"/>
      <c r="K45" s="29">
        <f>IF(OR(C45="",J45=""),"",J45-C45)</f>
        <v/>
      </c>
      <c r="L45" s="31">
        <f>IF(OR(B45="",I45=""),"",I45-B45)</f>
        <v/>
      </c>
      <c r="M45" s="40">
        <f>IF(OR(H45="",K45="",K45=0),"",H45/K45)</f>
        <v/>
      </c>
      <c r="N45" s="27" t="n"/>
    </row>
    <row r="46" ht="22" customHeight="1">
      <c r="A46" s="22" t="n">
        <v>43</v>
      </c>
      <c r="B46" s="23" t="n"/>
      <c r="C46" s="24" t="n"/>
      <c r="D46" s="22" t="n"/>
      <c r="E46" s="22" t="n"/>
      <c r="F46" s="25" t="n"/>
      <c r="G46" s="26" t="n"/>
      <c r="H46" s="25">
        <f>IF(OR(F46="",G46=""),"",F46*G46)</f>
        <v/>
      </c>
      <c r="I46" s="23" t="n"/>
      <c r="J46" s="24" t="n"/>
      <c r="K46" s="24">
        <f>IF(OR(C46="",J46=""),"",J46-C46)</f>
        <v/>
      </c>
      <c r="L46" s="26">
        <f>IF(OR(B46="",I46=""),"",I46-B46)</f>
        <v/>
      </c>
      <c r="M46" s="39">
        <f>IF(OR(H46="",K46="",K46=0),"",H46/K46)</f>
        <v/>
      </c>
      <c r="N46" s="22" t="n"/>
    </row>
    <row r="47" ht="22" customHeight="1">
      <c r="A47" s="27" t="n">
        <v>44</v>
      </c>
      <c r="B47" s="28" t="n"/>
      <c r="C47" s="29" t="n"/>
      <c r="D47" s="27" t="n"/>
      <c r="E47" s="27" t="n"/>
      <c r="F47" s="30" t="n"/>
      <c r="G47" s="31" t="n"/>
      <c r="H47" s="30">
        <f>IF(OR(F47="",G47=""),"",F47*G47)</f>
        <v/>
      </c>
      <c r="I47" s="28" t="n"/>
      <c r="J47" s="29" t="n"/>
      <c r="K47" s="29">
        <f>IF(OR(C47="",J47=""),"",J47-C47)</f>
        <v/>
      </c>
      <c r="L47" s="31">
        <f>IF(OR(B47="",I47=""),"",I47-B47)</f>
        <v/>
      </c>
      <c r="M47" s="40">
        <f>IF(OR(H47="",K47="",K47=0),"",H47/K47)</f>
        <v/>
      </c>
      <c r="N47" s="27" t="n"/>
    </row>
    <row r="48" ht="22" customHeight="1">
      <c r="A48" s="22" t="n">
        <v>45</v>
      </c>
      <c r="B48" s="23" t="n"/>
      <c r="C48" s="24" t="n"/>
      <c r="D48" s="22" t="n"/>
      <c r="E48" s="22" t="n"/>
      <c r="F48" s="25" t="n"/>
      <c r="G48" s="26" t="n"/>
      <c r="H48" s="25">
        <f>IF(OR(F48="",G48=""),"",F48*G48)</f>
        <v/>
      </c>
      <c r="I48" s="23" t="n"/>
      <c r="J48" s="24" t="n"/>
      <c r="K48" s="24">
        <f>IF(OR(C48="",J48=""),"",J48-C48)</f>
        <v/>
      </c>
      <c r="L48" s="26">
        <f>IF(OR(B48="",I48=""),"",I48-B48)</f>
        <v/>
      </c>
      <c r="M48" s="39">
        <f>IF(OR(H48="",K48="",K48=0),"",H48/K48)</f>
        <v/>
      </c>
      <c r="N48" s="22" t="n"/>
    </row>
    <row r="49" ht="22" customHeight="1">
      <c r="A49" s="27" t="n">
        <v>46</v>
      </c>
      <c r="B49" s="28" t="n"/>
      <c r="C49" s="29" t="n"/>
      <c r="D49" s="27" t="n"/>
      <c r="E49" s="27" t="n"/>
      <c r="F49" s="30" t="n"/>
      <c r="G49" s="31" t="n"/>
      <c r="H49" s="30">
        <f>IF(OR(F49="",G49=""),"",F49*G49)</f>
        <v/>
      </c>
      <c r="I49" s="28" t="n"/>
      <c r="J49" s="29" t="n"/>
      <c r="K49" s="29">
        <f>IF(OR(C49="",J49=""),"",J49-C49)</f>
        <v/>
      </c>
      <c r="L49" s="31">
        <f>IF(OR(B49="",I49=""),"",I49-B49)</f>
        <v/>
      </c>
      <c r="M49" s="40">
        <f>IF(OR(H49="",K49="",K49=0),"",H49/K49)</f>
        <v/>
      </c>
      <c r="N49" s="27" t="n"/>
    </row>
    <row r="50" ht="22" customHeight="1">
      <c r="A50" s="22" t="n">
        <v>47</v>
      </c>
      <c r="B50" s="23" t="n"/>
      <c r="C50" s="24" t="n"/>
      <c r="D50" s="22" t="n"/>
      <c r="E50" s="22" t="n"/>
      <c r="F50" s="25" t="n"/>
      <c r="G50" s="26" t="n"/>
      <c r="H50" s="25">
        <f>IF(OR(F50="",G50=""),"",F50*G50)</f>
        <v/>
      </c>
      <c r="I50" s="23" t="n"/>
      <c r="J50" s="24" t="n"/>
      <c r="K50" s="24">
        <f>IF(OR(C50="",J50=""),"",J50-C50)</f>
        <v/>
      </c>
      <c r="L50" s="26">
        <f>IF(OR(B50="",I50=""),"",I50-B50)</f>
        <v/>
      </c>
      <c r="M50" s="39">
        <f>IF(OR(H50="",K50="",K50=0),"",H50/K50)</f>
        <v/>
      </c>
      <c r="N50" s="22" t="n"/>
    </row>
    <row r="51" ht="22" customHeight="1">
      <c r="A51" s="27" t="n">
        <v>48</v>
      </c>
      <c r="B51" s="28" t="n"/>
      <c r="C51" s="29" t="n"/>
      <c r="D51" s="27" t="n"/>
      <c r="E51" s="27" t="n"/>
      <c r="F51" s="30" t="n"/>
      <c r="G51" s="31" t="n"/>
      <c r="H51" s="30">
        <f>IF(OR(F51="",G51=""),"",F51*G51)</f>
        <v/>
      </c>
      <c r="I51" s="28" t="n"/>
      <c r="J51" s="29" t="n"/>
      <c r="K51" s="29">
        <f>IF(OR(C51="",J51=""),"",J51-C51)</f>
        <v/>
      </c>
      <c r="L51" s="31">
        <f>IF(OR(B51="",I51=""),"",I51-B51)</f>
        <v/>
      </c>
      <c r="M51" s="40">
        <f>IF(OR(H51="",K51="",K51=0),"",H51/K51)</f>
        <v/>
      </c>
      <c r="N51" s="27" t="n"/>
    </row>
    <row r="52" ht="22" customHeight="1">
      <c r="A52" s="22" t="n">
        <v>49</v>
      </c>
      <c r="B52" s="23" t="n"/>
      <c r="C52" s="24" t="n"/>
      <c r="D52" s="22" t="n"/>
      <c r="E52" s="22" t="n"/>
      <c r="F52" s="25" t="n"/>
      <c r="G52" s="26" t="n"/>
      <c r="H52" s="25">
        <f>IF(OR(F52="",G52=""),"",F52*G52)</f>
        <v/>
      </c>
      <c r="I52" s="23" t="n"/>
      <c r="J52" s="24" t="n"/>
      <c r="K52" s="24">
        <f>IF(OR(C52="",J52=""),"",J52-C52)</f>
        <v/>
      </c>
      <c r="L52" s="26">
        <f>IF(OR(B52="",I52=""),"",I52-B52)</f>
        <v/>
      </c>
      <c r="M52" s="39">
        <f>IF(OR(H52="",K52="",K52=0),"",H52/K52)</f>
        <v/>
      </c>
      <c r="N52" s="22" t="n"/>
    </row>
    <row r="53" ht="22" customHeight="1">
      <c r="A53" s="27" t="n">
        <v>50</v>
      </c>
      <c r="B53" s="28" t="n"/>
      <c r="C53" s="29" t="n"/>
      <c r="D53" s="27" t="n"/>
      <c r="E53" s="27" t="n"/>
      <c r="F53" s="30" t="n"/>
      <c r="G53" s="31" t="n"/>
      <c r="H53" s="30">
        <f>IF(OR(F53="",G53=""),"",F53*G53)</f>
        <v/>
      </c>
      <c r="I53" s="28" t="n"/>
      <c r="J53" s="29" t="n"/>
      <c r="K53" s="29">
        <f>IF(OR(C53="",J53=""),"",J53-C53)</f>
        <v/>
      </c>
      <c r="L53" s="31">
        <f>IF(OR(B53="",I53=""),"",I53-B53)</f>
        <v/>
      </c>
      <c r="M53" s="40">
        <f>IF(OR(H53="",K53="",K53=0),"",H53/K53)</f>
        <v/>
      </c>
      <c r="N53" s="27" t="n"/>
    </row>
    <row r="54" ht="22" customHeight="1">
      <c r="A54" s="22" t="n">
        <v>51</v>
      </c>
      <c r="B54" s="23" t="n"/>
      <c r="C54" s="24" t="n"/>
      <c r="D54" s="22" t="n"/>
      <c r="E54" s="22" t="n"/>
      <c r="F54" s="25" t="n"/>
      <c r="G54" s="26" t="n"/>
      <c r="H54" s="25">
        <f>IF(OR(F54="",G54=""),"",F54*G54)</f>
        <v/>
      </c>
      <c r="I54" s="23" t="n"/>
      <c r="J54" s="24" t="n"/>
      <c r="K54" s="24">
        <f>IF(OR(C54="",J54=""),"",J54-C54)</f>
        <v/>
      </c>
      <c r="L54" s="26">
        <f>IF(OR(B54="",I54=""),"",I54-B54)</f>
        <v/>
      </c>
      <c r="M54" s="39">
        <f>IF(OR(H54="",K54="",K54=0),"",H54/K54)</f>
        <v/>
      </c>
      <c r="N54" s="22" t="n"/>
    </row>
    <row r="55" ht="22" customHeight="1">
      <c r="A55" s="27" t="n">
        <v>52</v>
      </c>
      <c r="B55" s="28" t="n"/>
      <c r="C55" s="29" t="n"/>
      <c r="D55" s="27" t="n"/>
      <c r="E55" s="27" t="n"/>
      <c r="F55" s="30" t="n"/>
      <c r="G55" s="31" t="n"/>
      <c r="H55" s="30">
        <f>IF(OR(F55="",G55=""),"",F55*G55)</f>
        <v/>
      </c>
      <c r="I55" s="28" t="n"/>
      <c r="J55" s="29" t="n"/>
      <c r="K55" s="29">
        <f>IF(OR(C55="",J55=""),"",J55-C55)</f>
        <v/>
      </c>
      <c r="L55" s="31">
        <f>IF(OR(B55="",I55=""),"",I55-B55)</f>
        <v/>
      </c>
      <c r="M55" s="40">
        <f>IF(OR(H55="",K55="",K55=0),"",H55/K55)</f>
        <v/>
      </c>
      <c r="N55" s="27" t="n"/>
    </row>
    <row r="56" ht="22" customHeight="1">
      <c r="A56" s="22" t="n">
        <v>53</v>
      </c>
      <c r="B56" s="23" t="n"/>
      <c r="C56" s="24" t="n"/>
      <c r="D56" s="22" t="n"/>
      <c r="E56" s="22" t="n"/>
      <c r="F56" s="25" t="n"/>
      <c r="G56" s="26" t="n"/>
      <c r="H56" s="25">
        <f>IF(OR(F56="",G56=""),"",F56*G56)</f>
        <v/>
      </c>
      <c r="I56" s="23" t="n"/>
      <c r="J56" s="24" t="n"/>
      <c r="K56" s="24">
        <f>IF(OR(C56="",J56=""),"",J56-C56)</f>
        <v/>
      </c>
      <c r="L56" s="26">
        <f>IF(OR(B56="",I56=""),"",I56-B56)</f>
        <v/>
      </c>
      <c r="M56" s="39">
        <f>IF(OR(H56="",K56="",K56=0),"",H56/K56)</f>
        <v/>
      </c>
      <c r="N56" s="22" t="n"/>
    </row>
    <row r="57" ht="22" customHeight="1">
      <c r="A57" s="27" t="n">
        <v>54</v>
      </c>
      <c r="B57" s="28" t="n"/>
      <c r="C57" s="29" t="n"/>
      <c r="D57" s="27" t="n"/>
      <c r="E57" s="27" t="n"/>
      <c r="F57" s="30" t="n"/>
      <c r="G57" s="31" t="n"/>
      <c r="H57" s="30">
        <f>IF(OR(F57="",G57=""),"",F57*G57)</f>
        <v/>
      </c>
      <c r="I57" s="28" t="n"/>
      <c r="J57" s="29" t="n"/>
      <c r="K57" s="29">
        <f>IF(OR(C57="",J57=""),"",J57-C57)</f>
        <v/>
      </c>
      <c r="L57" s="31">
        <f>IF(OR(B57="",I57=""),"",I57-B57)</f>
        <v/>
      </c>
      <c r="M57" s="40">
        <f>IF(OR(H57="",K57="",K57=0),"",H57/K57)</f>
        <v/>
      </c>
      <c r="N57" s="27" t="n"/>
    </row>
    <row r="58" ht="22" customHeight="1">
      <c r="A58" s="22" t="n">
        <v>55</v>
      </c>
      <c r="B58" s="23" t="n"/>
      <c r="C58" s="24" t="n"/>
      <c r="D58" s="22" t="n"/>
      <c r="E58" s="22" t="n"/>
      <c r="F58" s="25" t="n"/>
      <c r="G58" s="26" t="n"/>
      <c r="H58" s="25">
        <f>IF(OR(F58="",G58=""),"",F58*G58)</f>
        <v/>
      </c>
      <c r="I58" s="23" t="n"/>
      <c r="J58" s="24" t="n"/>
      <c r="K58" s="24">
        <f>IF(OR(C58="",J58=""),"",J58-C58)</f>
        <v/>
      </c>
      <c r="L58" s="26">
        <f>IF(OR(B58="",I58=""),"",I58-B58)</f>
        <v/>
      </c>
      <c r="M58" s="39">
        <f>IF(OR(H58="",K58="",K58=0),"",H58/K58)</f>
        <v/>
      </c>
      <c r="N58" s="22" t="n"/>
    </row>
    <row r="59" ht="22" customHeight="1">
      <c r="A59" s="27" t="n">
        <v>56</v>
      </c>
      <c r="B59" s="28" t="n"/>
      <c r="C59" s="29" t="n"/>
      <c r="D59" s="27" t="n"/>
      <c r="E59" s="27" t="n"/>
      <c r="F59" s="30" t="n"/>
      <c r="G59" s="31" t="n"/>
      <c r="H59" s="30">
        <f>IF(OR(F59="",G59=""),"",F59*G59)</f>
        <v/>
      </c>
      <c r="I59" s="28" t="n"/>
      <c r="J59" s="29" t="n"/>
      <c r="K59" s="29">
        <f>IF(OR(C59="",J59=""),"",J59-C59)</f>
        <v/>
      </c>
      <c r="L59" s="31">
        <f>IF(OR(B59="",I59=""),"",I59-B59)</f>
        <v/>
      </c>
      <c r="M59" s="40">
        <f>IF(OR(H59="",K59="",K59=0),"",H59/K59)</f>
        <v/>
      </c>
      <c r="N59" s="27" t="n"/>
    </row>
    <row r="60" ht="22" customHeight="1">
      <c r="A60" s="22" t="n">
        <v>57</v>
      </c>
      <c r="B60" s="23" t="n"/>
      <c r="C60" s="24" t="n"/>
      <c r="D60" s="22" t="n"/>
      <c r="E60" s="22" t="n"/>
      <c r="F60" s="25" t="n"/>
      <c r="G60" s="26" t="n"/>
      <c r="H60" s="25">
        <f>IF(OR(F60="",G60=""),"",F60*G60)</f>
        <v/>
      </c>
      <c r="I60" s="23" t="n"/>
      <c r="J60" s="24" t="n"/>
      <c r="K60" s="24">
        <f>IF(OR(C60="",J60=""),"",J60-C60)</f>
        <v/>
      </c>
      <c r="L60" s="26">
        <f>IF(OR(B60="",I60=""),"",I60-B60)</f>
        <v/>
      </c>
      <c r="M60" s="39">
        <f>IF(OR(H60="",K60="",K60=0),"",H60/K60)</f>
        <v/>
      </c>
      <c r="N60" s="22" t="n"/>
    </row>
    <row r="61" ht="22" customHeight="1">
      <c r="A61" s="27" t="n">
        <v>58</v>
      </c>
      <c r="B61" s="28" t="n"/>
      <c r="C61" s="29" t="n"/>
      <c r="D61" s="27" t="n"/>
      <c r="E61" s="27" t="n"/>
      <c r="F61" s="30" t="n"/>
      <c r="G61" s="31" t="n"/>
      <c r="H61" s="30">
        <f>IF(OR(F61="",G61=""),"",F61*G61)</f>
        <v/>
      </c>
      <c r="I61" s="28" t="n"/>
      <c r="J61" s="29" t="n"/>
      <c r="K61" s="29">
        <f>IF(OR(C61="",J61=""),"",J61-C61)</f>
        <v/>
      </c>
      <c r="L61" s="31">
        <f>IF(OR(B61="",I61=""),"",I61-B61)</f>
        <v/>
      </c>
      <c r="M61" s="40">
        <f>IF(OR(H61="",K61="",K61=0),"",H61/K61)</f>
        <v/>
      </c>
      <c r="N61" s="27" t="n"/>
    </row>
    <row r="62" ht="22" customHeight="1">
      <c r="A62" s="22" t="n">
        <v>59</v>
      </c>
      <c r="B62" s="23" t="n"/>
      <c r="C62" s="24" t="n"/>
      <c r="D62" s="22" t="n"/>
      <c r="E62" s="22" t="n"/>
      <c r="F62" s="25" t="n"/>
      <c r="G62" s="26" t="n"/>
      <c r="H62" s="25">
        <f>IF(OR(F62="",G62=""),"",F62*G62)</f>
        <v/>
      </c>
      <c r="I62" s="23" t="n"/>
      <c r="J62" s="24" t="n"/>
      <c r="K62" s="24">
        <f>IF(OR(C62="",J62=""),"",J62-C62)</f>
        <v/>
      </c>
      <c r="L62" s="26">
        <f>IF(OR(B62="",I62=""),"",I62-B62)</f>
        <v/>
      </c>
      <c r="M62" s="39">
        <f>IF(OR(H62="",K62="",K62=0),"",H62/K62)</f>
        <v/>
      </c>
      <c r="N62" s="22" t="n"/>
    </row>
    <row r="63" ht="22" customHeight="1">
      <c r="A63" s="27" t="n">
        <v>60</v>
      </c>
      <c r="B63" s="28" t="n"/>
      <c r="C63" s="29" t="n"/>
      <c r="D63" s="27" t="n"/>
      <c r="E63" s="27" t="n"/>
      <c r="F63" s="30" t="n"/>
      <c r="G63" s="31" t="n"/>
      <c r="H63" s="30">
        <f>IF(OR(F63="",G63=""),"",F63*G63)</f>
        <v/>
      </c>
      <c r="I63" s="28" t="n"/>
      <c r="J63" s="29" t="n"/>
      <c r="K63" s="29">
        <f>IF(OR(C63="",J63=""),"",J63-C63)</f>
        <v/>
      </c>
      <c r="L63" s="31">
        <f>IF(OR(B63="",I63=""),"",I63-B63)</f>
        <v/>
      </c>
      <c r="M63" s="40">
        <f>IF(OR(H63="",K63="",K63=0),"",H63/K63)</f>
        <v/>
      </c>
      <c r="N63" s="27" t="n"/>
    </row>
    <row r="64" ht="22" customHeight="1">
      <c r="A64" s="22" t="n">
        <v>61</v>
      </c>
      <c r="B64" s="23" t="n"/>
      <c r="C64" s="24" t="n"/>
      <c r="D64" s="22" t="n"/>
      <c r="E64" s="22" t="n"/>
      <c r="F64" s="25" t="n"/>
      <c r="G64" s="26" t="n"/>
      <c r="H64" s="25">
        <f>IF(OR(F64="",G64=""),"",F64*G64)</f>
        <v/>
      </c>
      <c r="I64" s="23" t="n"/>
      <c r="J64" s="24" t="n"/>
      <c r="K64" s="24">
        <f>IF(OR(C64="",J64=""),"",J64-C64)</f>
        <v/>
      </c>
      <c r="L64" s="26">
        <f>IF(OR(B64="",I64=""),"",I64-B64)</f>
        <v/>
      </c>
      <c r="M64" s="39">
        <f>IF(OR(H64="",K64="",K64=0),"",H64/K64)</f>
        <v/>
      </c>
      <c r="N64" s="22" t="n"/>
    </row>
    <row r="65" ht="22" customHeight="1">
      <c r="A65" s="27" t="n">
        <v>62</v>
      </c>
      <c r="B65" s="28" t="n"/>
      <c r="C65" s="29" t="n"/>
      <c r="D65" s="27" t="n"/>
      <c r="E65" s="27" t="n"/>
      <c r="F65" s="30" t="n"/>
      <c r="G65" s="31" t="n"/>
      <c r="H65" s="30">
        <f>IF(OR(F65="",G65=""),"",F65*G65)</f>
        <v/>
      </c>
      <c r="I65" s="28" t="n"/>
      <c r="J65" s="29" t="n"/>
      <c r="K65" s="29">
        <f>IF(OR(C65="",J65=""),"",J65-C65)</f>
        <v/>
      </c>
      <c r="L65" s="31">
        <f>IF(OR(B65="",I65=""),"",I65-B65)</f>
        <v/>
      </c>
      <c r="M65" s="40">
        <f>IF(OR(H65="",K65="",K65=0),"",H65/K65)</f>
        <v/>
      </c>
      <c r="N65" s="27" t="n"/>
    </row>
    <row r="66" ht="22" customHeight="1">
      <c r="A66" s="22" t="n">
        <v>63</v>
      </c>
      <c r="B66" s="23" t="n"/>
      <c r="C66" s="24" t="n"/>
      <c r="D66" s="22" t="n"/>
      <c r="E66" s="22" t="n"/>
      <c r="F66" s="25" t="n"/>
      <c r="G66" s="26" t="n"/>
      <c r="H66" s="25">
        <f>IF(OR(F66="",G66=""),"",F66*G66)</f>
        <v/>
      </c>
      <c r="I66" s="23" t="n"/>
      <c r="J66" s="24" t="n"/>
      <c r="K66" s="24">
        <f>IF(OR(C66="",J66=""),"",J66-C66)</f>
        <v/>
      </c>
      <c r="L66" s="26">
        <f>IF(OR(B66="",I66=""),"",I66-B66)</f>
        <v/>
      </c>
      <c r="M66" s="39">
        <f>IF(OR(H66="",K66="",K66=0),"",H66/K66)</f>
        <v/>
      </c>
      <c r="N66" s="22" t="n"/>
    </row>
    <row r="67" ht="22" customHeight="1">
      <c r="A67" s="27" t="n">
        <v>64</v>
      </c>
      <c r="B67" s="28" t="n"/>
      <c r="C67" s="29" t="n"/>
      <c r="D67" s="27" t="n"/>
      <c r="E67" s="27" t="n"/>
      <c r="F67" s="30" t="n"/>
      <c r="G67" s="31" t="n"/>
      <c r="H67" s="30">
        <f>IF(OR(F67="",G67=""),"",F67*G67)</f>
        <v/>
      </c>
      <c r="I67" s="28" t="n"/>
      <c r="J67" s="29" t="n"/>
      <c r="K67" s="29">
        <f>IF(OR(C67="",J67=""),"",J67-C67)</f>
        <v/>
      </c>
      <c r="L67" s="31">
        <f>IF(OR(B67="",I67=""),"",I67-B67)</f>
        <v/>
      </c>
      <c r="M67" s="40">
        <f>IF(OR(H67="",K67="",K67=0),"",H67/K67)</f>
        <v/>
      </c>
      <c r="N67" s="27" t="n"/>
    </row>
    <row r="68" ht="22" customHeight="1">
      <c r="A68" s="22" t="n">
        <v>65</v>
      </c>
      <c r="B68" s="23" t="n"/>
      <c r="C68" s="24" t="n"/>
      <c r="D68" s="22" t="n"/>
      <c r="E68" s="22" t="n"/>
      <c r="F68" s="25" t="n"/>
      <c r="G68" s="26" t="n"/>
      <c r="H68" s="25">
        <f>IF(OR(F68="",G68=""),"",F68*G68)</f>
        <v/>
      </c>
      <c r="I68" s="23" t="n"/>
      <c r="J68" s="24" t="n"/>
      <c r="K68" s="24">
        <f>IF(OR(C68="",J68=""),"",J68-C68)</f>
        <v/>
      </c>
      <c r="L68" s="26">
        <f>IF(OR(B68="",I68=""),"",I68-B68)</f>
        <v/>
      </c>
      <c r="M68" s="39">
        <f>IF(OR(H68="",K68="",K68=0),"",H68/K68)</f>
        <v/>
      </c>
      <c r="N68" s="22" t="n"/>
    </row>
    <row r="69" ht="22" customHeight="1">
      <c r="A69" s="27" t="n">
        <v>66</v>
      </c>
      <c r="B69" s="28" t="n"/>
      <c r="C69" s="29" t="n"/>
      <c r="D69" s="27" t="n"/>
      <c r="E69" s="27" t="n"/>
      <c r="F69" s="30" t="n"/>
      <c r="G69" s="31" t="n"/>
      <c r="H69" s="30">
        <f>IF(OR(F69="",G69=""),"",F69*G69)</f>
        <v/>
      </c>
      <c r="I69" s="28" t="n"/>
      <c r="J69" s="29" t="n"/>
      <c r="K69" s="29">
        <f>IF(OR(C69="",J69=""),"",J69-C69)</f>
        <v/>
      </c>
      <c r="L69" s="31">
        <f>IF(OR(B69="",I69=""),"",I69-B69)</f>
        <v/>
      </c>
      <c r="M69" s="40">
        <f>IF(OR(H69="",K69="",K69=0),"",H69/K69)</f>
        <v/>
      </c>
      <c r="N69" s="27" t="n"/>
    </row>
    <row r="70" ht="22" customHeight="1">
      <c r="A70" s="22" t="n">
        <v>67</v>
      </c>
      <c r="B70" s="23" t="n"/>
      <c r="C70" s="24" t="n"/>
      <c r="D70" s="22" t="n"/>
      <c r="E70" s="22" t="n"/>
      <c r="F70" s="25" t="n"/>
      <c r="G70" s="26" t="n"/>
      <c r="H70" s="25">
        <f>IF(OR(F70="",G70=""),"",F70*G70)</f>
        <v/>
      </c>
      <c r="I70" s="23" t="n"/>
      <c r="J70" s="24" t="n"/>
      <c r="K70" s="24">
        <f>IF(OR(C70="",J70=""),"",J70-C70)</f>
        <v/>
      </c>
      <c r="L70" s="26">
        <f>IF(OR(B70="",I70=""),"",I70-B70)</f>
        <v/>
      </c>
      <c r="M70" s="39">
        <f>IF(OR(H70="",K70="",K70=0),"",H70/K70)</f>
        <v/>
      </c>
      <c r="N70" s="22" t="n"/>
    </row>
    <row r="71" ht="22" customHeight="1">
      <c r="A71" s="27" t="n">
        <v>68</v>
      </c>
      <c r="B71" s="28" t="n"/>
      <c r="C71" s="29" t="n"/>
      <c r="D71" s="27" t="n"/>
      <c r="E71" s="27" t="n"/>
      <c r="F71" s="30" t="n"/>
      <c r="G71" s="31" t="n"/>
      <c r="H71" s="30">
        <f>IF(OR(F71="",G71=""),"",F71*G71)</f>
        <v/>
      </c>
      <c r="I71" s="28" t="n"/>
      <c r="J71" s="29" t="n"/>
      <c r="K71" s="29">
        <f>IF(OR(C71="",J71=""),"",J71-C71)</f>
        <v/>
      </c>
      <c r="L71" s="31">
        <f>IF(OR(B71="",I71=""),"",I71-B71)</f>
        <v/>
      </c>
      <c r="M71" s="40">
        <f>IF(OR(H71="",K71="",K71=0),"",H71/K71)</f>
        <v/>
      </c>
      <c r="N71" s="27" t="n"/>
    </row>
    <row r="72" ht="22" customHeight="1">
      <c r="A72" s="22" t="n">
        <v>69</v>
      </c>
      <c r="B72" s="23" t="n"/>
      <c r="C72" s="24" t="n"/>
      <c r="D72" s="22" t="n"/>
      <c r="E72" s="22" t="n"/>
      <c r="F72" s="25" t="n"/>
      <c r="G72" s="26" t="n"/>
      <c r="H72" s="25">
        <f>IF(OR(F72="",G72=""),"",F72*G72)</f>
        <v/>
      </c>
      <c r="I72" s="23" t="n"/>
      <c r="J72" s="24" t="n"/>
      <c r="K72" s="24">
        <f>IF(OR(C72="",J72=""),"",J72-C72)</f>
        <v/>
      </c>
      <c r="L72" s="26">
        <f>IF(OR(B72="",I72=""),"",I72-B72)</f>
        <v/>
      </c>
      <c r="M72" s="39">
        <f>IF(OR(H72="",K72="",K72=0),"",H72/K72)</f>
        <v/>
      </c>
      <c r="N72" s="22" t="n"/>
    </row>
    <row r="73" ht="22" customHeight="1">
      <c r="A73" s="27" t="n">
        <v>70</v>
      </c>
      <c r="B73" s="28" t="n"/>
      <c r="C73" s="29" t="n"/>
      <c r="D73" s="27" t="n"/>
      <c r="E73" s="27" t="n"/>
      <c r="F73" s="30" t="n"/>
      <c r="G73" s="31" t="n"/>
      <c r="H73" s="30">
        <f>IF(OR(F73="",G73=""),"",F73*G73)</f>
        <v/>
      </c>
      <c r="I73" s="28" t="n"/>
      <c r="J73" s="29" t="n"/>
      <c r="K73" s="29">
        <f>IF(OR(C73="",J73=""),"",J73-C73)</f>
        <v/>
      </c>
      <c r="L73" s="31">
        <f>IF(OR(B73="",I73=""),"",I73-B73)</f>
        <v/>
      </c>
      <c r="M73" s="40">
        <f>IF(OR(H73="",K73="",K73=0),"",H73/K73)</f>
        <v/>
      </c>
      <c r="N73" s="27" t="n"/>
    </row>
    <row r="74" ht="22" customHeight="1">
      <c r="A74" s="22" t="n">
        <v>71</v>
      </c>
      <c r="B74" s="23" t="n"/>
      <c r="C74" s="24" t="n"/>
      <c r="D74" s="22" t="n"/>
      <c r="E74" s="22" t="n"/>
      <c r="F74" s="25" t="n"/>
      <c r="G74" s="26" t="n"/>
      <c r="H74" s="25">
        <f>IF(OR(F74="",G74=""),"",F74*G74)</f>
        <v/>
      </c>
      <c r="I74" s="23" t="n"/>
      <c r="J74" s="24" t="n"/>
      <c r="K74" s="24">
        <f>IF(OR(C74="",J74=""),"",J74-C74)</f>
        <v/>
      </c>
      <c r="L74" s="26">
        <f>IF(OR(B74="",I74=""),"",I74-B74)</f>
        <v/>
      </c>
      <c r="M74" s="39">
        <f>IF(OR(H74="",K74="",K74=0),"",H74/K74)</f>
        <v/>
      </c>
      <c r="N74" s="22" t="n"/>
    </row>
    <row r="75" ht="22" customHeight="1">
      <c r="A75" s="27" t="n">
        <v>72</v>
      </c>
      <c r="B75" s="28" t="n"/>
      <c r="C75" s="29" t="n"/>
      <c r="D75" s="27" t="n"/>
      <c r="E75" s="27" t="n"/>
      <c r="F75" s="30" t="n"/>
      <c r="G75" s="31" t="n"/>
      <c r="H75" s="30">
        <f>IF(OR(F75="",G75=""),"",F75*G75)</f>
        <v/>
      </c>
      <c r="I75" s="28" t="n"/>
      <c r="J75" s="29" t="n"/>
      <c r="K75" s="29">
        <f>IF(OR(C75="",J75=""),"",J75-C75)</f>
        <v/>
      </c>
      <c r="L75" s="31">
        <f>IF(OR(B75="",I75=""),"",I75-B75)</f>
        <v/>
      </c>
      <c r="M75" s="40">
        <f>IF(OR(H75="",K75="",K75=0),"",H75/K75)</f>
        <v/>
      </c>
      <c r="N75" s="27" t="n"/>
    </row>
    <row r="76" ht="22" customHeight="1">
      <c r="A76" s="22" t="n">
        <v>73</v>
      </c>
      <c r="B76" s="23" t="n"/>
      <c r="C76" s="24" t="n"/>
      <c r="D76" s="22" t="n"/>
      <c r="E76" s="22" t="n"/>
      <c r="F76" s="25" t="n"/>
      <c r="G76" s="26" t="n"/>
      <c r="H76" s="25">
        <f>IF(OR(F76="",G76=""),"",F76*G76)</f>
        <v/>
      </c>
      <c r="I76" s="23" t="n"/>
      <c r="J76" s="24" t="n"/>
      <c r="K76" s="24">
        <f>IF(OR(C76="",J76=""),"",J76-C76)</f>
        <v/>
      </c>
      <c r="L76" s="26">
        <f>IF(OR(B76="",I76=""),"",I76-B76)</f>
        <v/>
      </c>
      <c r="M76" s="39">
        <f>IF(OR(H76="",K76="",K76=0),"",H76/K76)</f>
        <v/>
      </c>
      <c r="N76" s="22" t="n"/>
    </row>
    <row r="77" ht="22" customHeight="1">
      <c r="A77" s="27" t="n">
        <v>74</v>
      </c>
      <c r="B77" s="28" t="n"/>
      <c r="C77" s="29" t="n"/>
      <c r="D77" s="27" t="n"/>
      <c r="E77" s="27" t="n"/>
      <c r="F77" s="30" t="n"/>
      <c r="G77" s="31" t="n"/>
      <c r="H77" s="30">
        <f>IF(OR(F77="",G77=""),"",F77*G77)</f>
        <v/>
      </c>
      <c r="I77" s="28" t="n"/>
      <c r="J77" s="29" t="n"/>
      <c r="K77" s="29">
        <f>IF(OR(C77="",J77=""),"",J77-C77)</f>
        <v/>
      </c>
      <c r="L77" s="31">
        <f>IF(OR(B77="",I77=""),"",I77-B77)</f>
        <v/>
      </c>
      <c r="M77" s="40">
        <f>IF(OR(H77="",K77="",K77=0),"",H77/K77)</f>
        <v/>
      </c>
      <c r="N77" s="27" t="n"/>
    </row>
    <row r="78" ht="22" customHeight="1">
      <c r="A78" s="22" t="n">
        <v>75</v>
      </c>
      <c r="B78" s="23" t="n"/>
      <c r="C78" s="24" t="n"/>
      <c r="D78" s="22" t="n"/>
      <c r="E78" s="22" t="n"/>
      <c r="F78" s="25" t="n"/>
      <c r="G78" s="26" t="n"/>
      <c r="H78" s="25">
        <f>IF(OR(F78="",G78=""),"",F78*G78)</f>
        <v/>
      </c>
      <c r="I78" s="23" t="n"/>
      <c r="J78" s="24" t="n"/>
      <c r="K78" s="24">
        <f>IF(OR(C78="",J78=""),"",J78-C78)</f>
        <v/>
      </c>
      <c r="L78" s="26">
        <f>IF(OR(B78="",I78=""),"",I78-B78)</f>
        <v/>
      </c>
      <c r="M78" s="39">
        <f>IF(OR(H78="",K78="",K78=0),"",H78/K78)</f>
        <v/>
      </c>
      <c r="N78" s="22" t="n"/>
    </row>
    <row r="79" ht="22" customHeight="1">
      <c r="A79" s="27" t="n">
        <v>76</v>
      </c>
      <c r="B79" s="28" t="n"/>
      <c r="C79" s="29" t="n"/>
      <c r="D79" s="27" t="n"/>
      <c r="E79" s="27" t="n"/>
      <c r="F79" s="30" t="n"/>
      <c r="G79" s="31" t="n"/>
      <c r="H79" s="30">
        <f>IF(OR(F79="",G79=""),"",F79*G79)</f>
        <v/>
      </c>
      <c r="I79" s="28" t="n"/>
      <c r="J79" s="29" t="n"/>
      <c r="K79" s="29">
        <f>IF(OR(C79="",J79=""),"",J79-C79)</f>
        <v/>
      </c>
      <c r="L79" s="31">
        <f>IF(OR(B79="",I79=""),"",I79-B79)</f>
        <v/>
      </c>
      <c r="M79" s="40">
        <f>IF(OR(H79="",K79="",K79=0),"",H79/K79)</f>
        <v/>
      </c>
      <c r="N79" s="27" t="n"/>
    </row>
    <row r="80" ht="22" customHeight="1">
      <c r="A80" s="22" t="n">
        <v>77</v>
      </c>
      <c r="B80" s="23" t="n"/>
      <c r="C80" s="24" t="n"/>
      <c r="D80" s="22" t="n"/>
      <c r="E80" s="22" t="n"/>
      <c r="F80" s="25" t="n"/>
      <c r="G80" s="26" t="n"/>
      <c r="H80" s="25">
        <f>IF(OR(F80="",G80=""),"",F80*G80)</f>
        <v/>
      </c>
      <c r="I80" s="23" t="n"/>
      <c r="J80" s="24" t="n"/>
      <c r="K80" s="24">
        <f>IF(OR(C80="",J80=""),"",J80-C80)</f>
        <v/>
      </c>
      <c r="L80" s="26">
        <f>IF(OR(B80="",I80=""),"",I80-B80)</f>
        <v/>
      </c>
      <c r="M80" s="39">
        <f>IF(OR(H80="",K80="",K80=0),"",H80/K80)</f>
        <v/>
      </c>
      <c r="N80" s="22" t="n"/>
    </row>
    <row r="81" ht="22" customHeight="1">
      <c r="A81" s="27" t="n">
        <v>78</v>
      </c>
      <c r="B81" s="28" t="n"/>
      <c r="C81" s="29" t="n"/>
      <c r="D81" s="27" t="n"/>
      <c r="E81" s="27" t="n"/>
      <c r="F81" s="30" t="n"/>
      <c r="G81" s="31" t="n"/>
      <c r="H81" s="30">
        <f>IF(OR(F81="",G81=""),"",F81*G81)</f>
        <v/>
      </c>
      <c r="I81" s="28" t="n"/>
      <c r="J81" s="29" t="n"/>
      <c r="K81" s="29">
        <f>IF(OR(C81="",J81=""),"",J81-C81)</f>
        <v/>
      </c>
      <c r="L81" s="31">
        <f>IF(OR(B81="",I81=""),"",I81-B81)</f>
        <v/>
      </c>
      <c r="M81" s="40">
        <f>IF(OR(H81="",K81="",K81=0),"",H81/K81)</f>
        <v/>
      </c>
      <c r="N81" s="27" t="n"/>
    </row>
    <row r="82" ht="22" customHeight="1">
      <c r="A82" s="22" t="n">
        <v>79</v>
      </c>
      <c r="B82" s="23" t="n"/>
      <c r="C82" s="24" t="n"/>
      <c r="D82" s="22" t="n"/>
      <c r="E82" s="22" t="n"/>
      <c r="F82" s="25" t="n"/>
      <c r="G82" s="26" t="n"/>
      <c r="H82" s="25">
        <f>IF(OR(F82="",G82=""),"",F82*G82)</f>
        <v/>
      </c>
      <c r="I82" s="23" t="n"/>
      <c r="J82" s="24" t="n"/>
      <c r="K82" s="24">
        <f>IF(OR(C82="",J82=""),"",J82-C82)</f>
        <v/>
      </c>
      <c r="L82" s="26">
        <f>IF(OR(B82="",I82=""),"",I82-B82)</f>
        <v/>
      </c>
      <c r="M82" s="39">
        <f>IF(OR(H82="",K82="",K82=0),"",H82/K82)</f>
        <v/>
      </c>
      <c r="N82" s="22" t="n"/>
    </row>
    <row r="83" ht="22" customHeight="1">
      <c r="A83" s="27" t="n">
        <v>80</v>
      </c>
      <c r="B83" s="28" t="n"/>
      <c r="C83" s="29" t="n"/>
      <c r="D83" s="27" t="n"/>
      <c r="E83" s="27" t="n"/>
      <c r="F83" s="30" t="n"/>
      <c r="G83" s="31" t="n"/>
      <c r="H83" s="30">
        <f>IF(OR(F83="",G83=""),"",F83*G83)</f>
        <v/>
      </c>
      <c r="I83" s="28" t="n"/>
      <c r="J83" s="29" t="n"/>
      <c r="K83" s="29">
        <f>IF(OR(C83="",J83=""),"",J83-C83)</f>
        <v/>
      </c>
      <c r="L83" s="31">
        <f>IF(OR(B83="",I83=""),"",I83-B83)</f>
        <v/>
      </c>
      <c r="M83" s="40">
        <f>IF(OR(H83="",K83="",K83=0),"",H83/K83)</f>
        <v/>
      </c>
      <c r="N83" s="27" t="n"/>
    </row>
    <row r="84">
      <c r="A84" s="32" t="inlineStr">
        <is>
          <t>TOTAL INVESTIDO EM PNEUS</t>
        </is>
      </c>
      <c r="B84" s="33" t="n"/>
      <c r="C84" s="33" t="n"/>
      <c r="D84" s="33" t="n"/>
      <c r="E84" s="33" t="n"/>
      <c r="F84" s="33" t="n"/>
      <c r="G84" s="33" t="n"/>
      <c r="H84" s="34">
        <f>SUM(H4:H83)</f>
        <v/>
      </c>
    </row>
  </sheetData>
  <autoFilter ref="A3:N83"/>
  <mergeCells count="3">
    <mergeCell ref="A84:G84"/>
    <mergeCell ref="A2:N2"/>
    <mergeCell ref="A1:N1"/>
  </mergeCells>
  <conditionalFormatting sqref="M4:M83">
    <cfRule type="cellIs" priority="1" operator="greaterThan" dxfId="0">
      <formula>0.5</formula>
    </cfRule>
  </conditionalFormatting>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showDropDown="0" showInputMessage="0" showErrorMessage="0" allowBlank="1" prompt="Posição do pneu" type="list">
      <formula1>"Dianteiro Esquerdo,Dianteiro Direito,Traseiro Esquerdo,Traseiro Direito,Estepe,Todos Dianteiros,Todos Traseiros,Todos"</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showDropDown="0" showInputMessage="0" showErrorMessage="0" allowBlank="1" type="list">
      <formula1>"Desgaste natural,Furo irreparável,Bolha lateral,Corte,Desgaste irregular,Rodízio,Recall,Outro"</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1A5276"/>
    <outlinePr summaryBelow="1" summaryRight="1"/>
    <pageSetUpPr fitToPage="1"/>
  </sheetPr>
  <dimension ref="A1:L155"/>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16" customWidth="1" min="3" max="3"/>
    <col width="10" customWidth="1" min="4" max="4"/>
    <col width="16" customWidth="1" min="5" max="5"/>
    <col width="16" customWidth="1" min="6" max="6"/>
    <col width="24" customWidth="1" min="7" max="7"/>
    <col width="14" customWidth="1" min="8" max="8"/>
    <col width="20" customWidth="1" min="9" max="9"/>
    <col width="16" customWidth="1" min="10" max="10"/>
    <col width="18" customWidth="1" min="11" max="11"/>
    <col width="24" customWidth="1" min="12" max="12"/>
  </cols>
  <sheetData>
    <row r="1" ht="38" customHeight="1">
      <c r="A1" s="20" t="inlineStr">
        <is>
          <t>CONTROLE DE ABASTECIMENTO — HR HYUNDAI 2018</t>
        </is>
      </c>
      <c r="B1" s="21" t="n"/>
      <c r="C1" s="21" t="n"/>
      <c r="D1" s="21" t="n"/>
      <c r="E1" s="21" t="n"/>
      <c r="F1" s="21" t="n"/>
      <c r="G1" s="21" t="n"/>
      <c r="H1" s="21" t="n"/>
      <c r="I1" s="21" t="n"/>
      <c r="J1" s="21" t="n"/>
      <c r="K1" s="21" t="n"/>
      <c r="L1" s="21" t="n"/>
    </row>
    <row r="2">
      <c r="A2" s="38" t="inlineStr">
        <is>
          <t>Tanque: 75 litros | Combustível: Diesel S10</t>
        </is>
      </c>
    </row>
    <row r="3" ht="32" customHeight="1">
      <c r="A3" s="12" t="inlineStr">
        <is>
          <t>Nº</t>
        </is>
      </c>
      <c r="B3" s="12" t="inlineStr">
        <is>
          <t>Data</t>
        </is>
      </c>
      <c r="C3" s="12" t="inlineStr">
        <is>
          <t>Odômetro (km)</t>
        </is>
      </c>
      <c r="D3" s="12" t="inlineStr">
        <is>
          <t>Litros</t>
        </is>
      </c>
      <c r="E3" s="12" t="inlineStr">
        <is>
          <t>Valor/Litro (R$)</t>
        </is>
      </c>
      <c r="F3" s="12" t="inlineStr">
        <is>
          <t>Valor Total (R$)</t>
        </is>
      </c>
      <c r="G3" s="12" t="inlineStr">
        <is>
          <t>Posto / Local</t>
        </is>
      </c>
      <c r="H3" s="12" t="inlineStr">
        <is>
          <t>Tanque Cheio?</t>
        </is>
      </c>
      <c r="I3" s="12" t="inlineStr">
        <is>
          <t>Km desde Último Abast.</t>
        </is>
      </c>
      <c r="J3" s="12" t="inlineStr">
        <is>
          <t>Consumo (km/l)</t>
        </is>
      </c>
      <c r="K3" s="12" t="inlineStr">
        <is>
          <t>Custo por Km (R$/km)</t>
        </is>
      </c>
      <c r="L3" s="12" t="inlineStr">
        <is>
          <t>Observação</t>
        </is>
      </c>
    </row>
    <row r="4" ht="22" customHeight="1">
      <c r="A4" s="22" t="n">
        <v>1</v>
      </c>
      <c r="B4" s="23" t="n"/>
      <c r="C4" s="24" t="n"/>
      <c r="D4" s="41" t="n"/>
      <c r="E4" s="25" t="n"/>
      <c r="F4" s="25">
        <f>IF(OR(D4="",E4=""),"",D4*E4)</f>
        <v/>
      </c>
      <c r="G4" s="22" t="n"/>
      <c r="H4" s="22" t="n"/>
      <c r="I4" s="24" t="inlineStr"/>
      <c r="J4" s="41" t="inlineStr"/>
      <c r="K4" s="25" t="inlineStr"/>
      <c r="L4" s="22" t="n"/>
    </row>
    <row r="5" ht="22" customHeight="1">
      <c r="A5" s="27" t="n">
        <v>2</v>
      </c>
      <c r="B5" s="28" t="n"/>
      <c r="C5" s="29" t="n"/>
      <c r="D5" s="42" t="n"/>
      <c r="E5" s="30" t="n"/>
      <c r="F5" s="30">
        <f>IF(OR(D5="",E5=""),"",D5*E5)</f>
        <v/>
      </c>
      <c r="G5" s="27" t="n"/>
      <c r="H5" s="27" t="n"/>
      <c r="I5" s="29">
        <f>IF(OR(C5="",C4=""),"",C5-C4)</f>
        <v/>
      </c>
      <c r="J5" s="42">
        <f>IF(OR(I5="",D5="",D5=0,I5=0),"",I5/D5)</f>
        <v/>
      </c>
      <c r="K5" s="30">
        <f>IF(OR(F5="",I5="",I5=0),"",F5/I5)</f>
        <v/>
      </c>
      <c r="L5" s="27" t="n"/>
    </row>
    <row r="6" ht="22" customHeight="1">
      <c r="A6" s="22" t="n">
        <v>3</v>
      </c>
      <c r="B6" s="23" t="n"/>
      <c r="C6" s="24" t="n"/>
      <c r="D6" s="41" t="n"/>
      <c r="E6" s="25" t="n"/>
      <c r="F6" s="25">
        <f>IF(OR(D6="",E6=""),"",D6*E6)</f>
        <v/>
      </c>
      <c r="G6" s="22" t="n"/>
      <c r="H6" s="22" t="n"/>
      <c r="I6" s="24">
        <f>IF(OR(C6="",C5=""),"",C6-C5)</f>
        <v/>
      </c>
      <c r="J6" s="41">
        <f>IF(OR(I6="",D6="",D6=0,I6=0),"",I6/D6)</f>
        <v/>
      </c>
      <c r="K6" s="25">
        <f>IF(OR(F6="",I6="",I6=0),"",F6/I6)</f>
        <v/>
      </c>
      <c r="L6" s="22" t="n"/>
    </row>
    <row r="7" ht="22" customHeight="1">
      <c r="A7" s="27" t="n">
        <v>4</v>
      </c>
      <c r="B7" s="28" t="n"/>
      <c r="C7" s="29" t="n"/>
      <c r="D7" s="42" t="n"/>
      <c r="E7" s="30" t="n"/>
      <c r="F7" s="30">
        <f>IF(OR(D7="",E7=""),"",D7*E7)</f>
        <v/>
      </c>
      <c r="G7" s="27" t="n"/>
      <c r="H7" s="27" t="n"/>
      <c r="I7" s="29">
        <f>IF(OR(C7="",C6=""),"",C7-C6)</f>
        <v/>
      </c>
      <c r="J7" s="42">
        <f>IF(OR(I7="",D7="",D7=0,I7=0),"",I7/D7)</f>
        <v/>
      </c>
      <c r="K7" s="30">
        <f>IF(OR(F7="",I7="",I7=0),"",F7/I7)</f>
        <v/>
      </c>
      <c r="L7" s="27" t="n"/>
    </row>
    <row r="8" ht="22" customHeight="1">
      <c r="A8" s="22" t="n">
        <v>5</v>
      </c>
      <c r="B8" s="23" t="n"/>
      <c r="C8" s="24" t="n"/>
      <c r="D8" s="41" t="n"/>
      <c r="E8" s="25" t="n"/>
      <c r="F8" s="25">
        <f>IF(OR(D8="",E8=""),"",D8*E8)</f>
        <v/>
      </c>
      <c r="G8" s="22" t="n"/>
      <c r="H8" s="22" t="n"/>
      <c r="I8" s="24">
        <f>IF(OR(C8="",C7=""),"",C8-C7)</f>
        <v/>
      </c>
      <c r="J8" s="41">
        <f>IF(OR(I8="",D8="",D8=0,I8=0),"",I8/D8)</f>
        <v/>
      </c>
      <c r="K8" s="25">
        <f>IF(OR(F8="",I8="",I8=0),"",F8/I8)</f>
        <v/>
      </c>
      <c r="L8" s="22" t="n"/>
    </row>
    <row r="9" ht="22" customHeight="1">
      <c r="A9" s="27" t="n">
        <v>6</v>
      </c>
      <c r="B9" s="28" t="n"/>
      <c r="C9" s="29" t="n"/>
      <c r="D9" s="42" t="n"/>
      <c r="E9" s="30" t="n"/>
      <c r="F9" s="30">
        <f>IF(OR(D9="",E9=""),"",D9*E9)</f>
        <v/>
      </c>
      <c r="G9" s="27" t="n"/>
      <c r="H9" s="27" t="n"/>
      <c r="I9" s="29">
        <f>IF(OR(C9="",C8=""),"",C9-C8)</f>
        <v/>
      </c>
      <c r="J9" s="42">
        <f>IF(OR(I9="",D9="",D9=0,I9=0),"",I9/D9)</f>
        <v/>
      </c>
      <c r="K9" s="30">
        <f>IF(OR(F9="",I9="",I9=0),"",F9/I9)</f>
        <v/>
      </c>
      <c r="L9" s="27" t="n"/>
    </row>
    <row r="10" ht="22" customHeight="1">
      <c r="A10" s="22" t="n">
        <v>7</v>
      </c>
      <c r="B10" s="23" t="n"/>
      <c r="C10" s="24" t="n"/>
      <c r="D10" s="41" t="n"/>
      <c r="E10" s="25" t="n"/>
      <c r="F10" s="25">
        <f>IF(OR(D10="",E10=""),"",D10*E10)</f>
        <v/>
      </c>
      <c r="G10" s="22" t="n"/>
      <c r="H10" s="22" t="n"/>
      <c r="I10" s="24">
        <f>IF(OR(C10="",C9=""),"",C10-C9)</f>
        <v/>
      </c>
      <c r="J10" s="41">
        <f>IF(OR(I10="",D10="",D10=0,I10=0),"",I10/D10)</f>
        <v/>
      </c>
      <c r="K10" s="25">
        <f>IF(OR(F10="",I10="",I10=0),"",F10/I10)</f>
        <v/>
      </c>
      <c r="L10" s="22" t="n"/>
    </row>
    <row r="11" ht="22" customHeight="1">
      <c r="A11" s="27" t="n">
        <v>8</v>
      </c>
      <c r="B11" s="28" t="n"/>
      <c r="C11" s="29" t="n"/>
      <c r="D11" s="42" t="n"/>
      <c r="E11" s="30" t="n"/>
      <c r="F11" s="30">
        <f>IF(OR(D11="",E11=""),"",D11*E11)</f>
        <v/>
      </c>
      <c r="G11" s="27" t="n"/>
      <c r="H11" s="27" t="n"/>
      <c r="I11" s="29">
        <f>IF(OR(C11="",C10=""),"",C11-C10)</f>
        <v/>
      </c>
      <c r="J11" s="42">
        <f>IF(OR(I11="",D11="",D11=0,I11=0),"",I11/D11)</f>
        <v/>
      </c>
      <c r="K11" s="30">
        <f>IF(OR(F11="",I11="",I11=0),"",F11/I11)</f>
        <v/>
      </c>
      <c r="L11" s="27" t="n"/>
    </row>
    <row r="12" ht="22" customHeight="1">
      <c r="A12" s="22" t="n">
        <v>9</v>
      </c>
      <c r="B12" s="23" t="n"/>
      <c r="C12" s="24" t="n"/>
      <c r="D12" s="41" t="n"/>
      <c r="E12" s="25" t="n"/>
      <c r="F12" s="25">
        <f>IF(OR(D12="",E12=""),"",D12*E12)</f>
        <v/>
      </c>
      <c r="G12" s="22" t="n"/>
      <c r="H12" s="22" t="n"/>
      <c r="I12" s="24">
        <f>IF(OR(C12="",C11=""),"",C12-C11)</f>
        <v/>
      </c>
      <c r="J12" s="41">
        <f>IF(OR(I12="",D12="",D12=0,I12=0),"",I12/D12)</f>
        <v/>
      </c>
      <c r="K12" s="25">
        <f>IF(OR(F12="",I12="",I12=0),"",F12/I12)</f>
        <v/>
      </c>
      <c r="L12" s="22" t="n"/>
    </row>
    <row r="13" ht="22" customHeight="1">
      <c r="A13" s="27" t="n">
        <v>10</v>
      </c>
      <c r="B13" s="28" t="n"/>
      <c r="C13" s="29" t="n"/>
      <c r="D13" s="42" t="n"/>
      <c r="E13" s="30" t="n"/>
      <c r="F13" s="30">
        <f>IF(OR(D13="",E13=""),"",D13*E13)</f>
        <v/>
      </c>
      <c r="G13" s="27" t="n"/>
      <c r="H13" s="27" t="n"/>
      <c r="I13" s="29">
        <f>IF(OR(C13="",C12=""),"",C13-C12)</f>
        <v/>
      </c>
      <c r="J13" s="42">
        <f>IF(OR(I13="",D13="",D13=0,I13=0),"",I13/D13)</f>
        <v/>
      </c>
      <c r="K13" s="30">
        <f>IF(OR(F13="",I13="",I13=0),"",F13/I13)</f>
        <v/>
      </c>
      <c r="L13" s="27" t="n"/>
    </row>
    <row r="14" ht="22" customHeight="1">
      <c r="A14" s="22" t="n">
        <v>11</v>
      </c>
      <c r="B14" s="23" t="n"/>
      <c r="C14" s="24" t="n"/>
      <c r="D14" s="41" t="n"/>
      <c r="E14" s="25" t="n"/>
      <c r="F14" s="25">
        <f>IF(OR(D14="",E14=""),"",D14*E14)</f>
        <v/>
      </c>
      <c r="G14" s="22" t="n"/>
      <c r="H14" s="22" t="n"/>
      <c r="I14" s="24">
        <f>IF(OR(C14="",C13=""),"",C14-C13)</f>
        <v/>
      </c>
      <c r="J14" s="41">
        <f>IF(OR(I14="",D14="",D14=0,I14=0),"",I14/D14)</f>
        <v/>
      </c>
      <c r="K14" s="25">
        <f>IF(OR(F14="",I14="",I14=0),"",F14/I14)</f>
        <v/>
      </c>
      <c r="L14" s="22" t="n"/>
    </row>
    <row r="15" ht="22" customHeight="1">
      <c r="A15" s="27" t="n">
        <v>12</v>
      </c>
      <c r="B15" s="28" t="n"/>
      <c r="C15" s="29" t="n"/>
      <c r="D15" s="42" t="n"/>
      <c r="E15" s="30" t="n"/>
      <c r="F15" s="30">
        <f>IF(OR(D15="",E15=""),"",D15*E15)</f>
        <v/>
      </c>
      <c r="G15" s="27" t="n"/>
      <c r="H15" s="27" t="n"/>
      <c r="I15" s="29">
        <f>IF(OR(C15="",C14=""),"",C15-C14)</f>
        <v/>
      </c>
      <c r="J15" s="42">
        <f>IF(OR(I15="",D15="",D15=0,I15=0),"",I15/D15)</f>
        <v/>
      </c>
      <c r="K15" s="30">
        <f>IF(OR(F15="",I15="",I15=0),"",F15/I15)</f>
        <v/>
      </c>
      <c r="L15" s="27" t="n"/>
    </row>
    <row r="16" ht="22" customHeight="1">
      <c r="A16" s="22" t="n">
        <v>13</v>
      </c>
      <c r="B16" s="23" t="n"/>
      <c r="C16" s="24" t="n"/>
      <c r="D16" s="41" t="n"/>
      <c r="E16" s="25" t="n"/>
      <c r="F16" s="25">
        <f>IF(OR(D16="",E16=""),"",D16*E16)</f>
        <v/>
      </c>
      <c r="G16" s="22" t="n"/>
      <c r="H16" s="22" t="n"/>
      <c r="I16" s="24">
        <f>IF(OR(C16="",C15=""),"",C16-C15)</f>
        <v/>
      </c>
      <c r="J16" s="41">
        <f>IF(OR(I16="",D16="",D16=0,I16=0),"",I16/D16)</f>
        <v/>
      </c>
      <c r="K16" s="25">
        <f>IF(OR(F16="",I16="",I16=0),"",F16/I16)</f>
        <v/>
      </c>
      <c r="L16" s="22" t="n"/>
    </row>
    <row r="17" ht="22" customHeight="1">
      <c r="A17" s="27" t="n">
        <v>14</v>
      </c>
      <c r="B17" s="28" t="n"/>
      <c r="C17" s="29" t="n"/>
      <c r="D17" s="42" t="n"/>
      <c r="E17" s="30" t="n"/>
      <c r="F17" s="30">
        <f>IF(OR(D17="",E17=""),"",D17*E17)</f>
        <v/>
      </c>
      <c r="G17" s="27" t="n"/>
      <c r="H17" s="27" t="n"/>
      <c r="I17" s="29">
        <f>IF(OR(C17="",C16=""),"",C17-C16)</f>
        <v/>
      </c>
      <c r="J17" s="42">
        <f>IF(OR(I17="",D17="",D17=0,I17=0),"",I17/D17)</f>
        <v/>
      </c>
      <c r="K17" s="30">
        <f>IF(OR(F17="",I17="",I17=0),"",F17/I17)</f>
        <v/>
      </c>
      <c r="L17" s="27" t="n"/>
    </row>
    <row r="18" ht="22" customHeight="1">
      <c r="A18" s="22" t="n">
        <v>15</v>
      </c>
      <c r="B18" s="23" t="n"/>
      <c r="C18" s="24" t="n"/>
      <c r="D18" s="41" t="n"/>
      <c r="E18" s="25" t="n"/>
      <c r="F18" s="25">
        <f>IF(OR(D18="",E18=""),"",D18*E18)</f>
        <v/>
      </c>
      <c r="G18" s="22" t="n"/>
      <c r="H18" s="22" t="n"/>
      <c r="I18" s="24">
        <f>IF(OR(C18="",C17=""),"",C18-C17)</f>
        <v/>
      </c>
      <c r="J18" s="41">
        <f>IF(OR(I18="",D18="",D18=0,I18=0),"",I18/D18)</f>
        <v/>
      </c>
      <c r="K18" s="25">
        <f>IF(OR(F18="",I18="",I18=0),"",F18/I18)</f>
        <v/>
      </c>
      <c r="L18" s="22" t="n"/>
    </row>
    <row r="19" ht="22" customHeight="1">
      <c r="A19" s="27" t="n">
        <v>16</v>
      </c>
      <c r="B19" s="28" t="n"/>
      <c r="C19" s="29" t="n"/>
      <c r="D19" s="42" t="n"/>
      <c r="E19" s="30" t="n"/>
      <c r="F19" s="30">
        <f>IF(OR(D19="",E19=""),"",D19*E19)</f>
        <v/>
      </c>
      <c r="G19" s="27" t="n"/>
      <c r="H19" s="27" t="n"/>
      <c r="I19" s="29">
        <f>IF(OR(C19="",C18=""),"",C19-C18)</f>
        <v/>
      </c>
      <c r="J19" s="42">
        <f>IF(OR(I19="",D19="",D19=0,I19=0),"",I19/D19)</f>
        <v/>
      </c>
      <c r="K19" s="30">
        <f>IF(OR(F19="",I19="",I19=0),"",F19/I19)</f>
        <v/>
      </c>
      <c r="L19" s="27" t="n"/>
    </row>
    <row r="20" ht="22" customHeight="1">
      <c r="A20" s="22" t="n">
        <v>17</v>
      </c>
      <c r="B20" s="23" t="n"/>
      <c r="C20" s="24" t="n"/>
      <c r="D20" s="41" t="n"/>
      <c r="E20" s="25" t="n"/>
      <c r="F20" s="25">
        <f>IF(OR(D20="",E20=""),"",D20*E20)</f>
        <v/>
      </c>
      <c r="G20" s="22" t="n"/>
      <c r="H20" s="22" t="n"/>
      <c r="I20" s="24">
        <f>IF(OR(C20="",C19=""),"",C20-C19)</f>
        <v/>
      </c>
      <c r="J20" s="41">
        <f>IF(OR(I20="",D20="",D20=0,I20=0),"",I20/D20)</f>
        <v/>
      </c>
      <c r="K20" s="25">
        <f>IF(OR(F20="",I20="",I20=0),"",F20/I20)</f>
        <v/>
      </c>
      <c r="L20" s="22" t="n"/>
    </row>
    <row r="21" ht="22" customHeight="1">
      <c r="A21" s="27" t="n">
        <v>18</v>
      </c>
      <c r="B21" s="28" t="n"/>
      <c r="C21" s="29" t="n"/>
      <c r="D21" s="42" t="n"/>
      <c r="E21" s="30" t="n"/>
      <c r="F21" s="30">
        <f>IF(OR(D21="",E21=""),"",D21*E21)</f>
        <v/>
      </c>
      <c r="G21" s="27" t="n"/>
      <c r="H21" s="27" t="n"/>
      <c r="I21" s="29">
        <f>IF(OR(C21="",C20=""),"",C21-C20)</f>
        <v/>
      </c>
      <c r="J21" s="42">
        <f>IF(OR(I21="",D21="",D21=0,I21=0),"",I21/D21)</f>
        <v/>
      </c>
      <c r="K21" s="30">
        <f>IF(OR(F21="",I21="",I21=0),"",F21/I21)</f>
        <v/>
      </c>
      <c r="L21" s="27" t="n"/>
    </row>
    <row r="22" ht="22" customHeight="1">
      <c r="A22" s="22" t="n">
        <v>19</v>
      </c>
      <c r="B22" s="23" t="n"/>
      <c r="C22" s="24" t="n"/>
      <c r="D22" s="41" t="n"/>
      <c r="E22" s="25" t="n"/>
      <c r="F22" s="25">
        <f>IF(OR(D22="",E22=""),"",D22*E22)</f>
        <v/>
      </c>
      <c r="G22" s="22" t="n"/>
      <c r="H22" s="22" t="n"/>
      <c r="I22" s="24">
        <f>IF(OR(C22="",C21=""),"",C22-C21)</f>
        <v/>
      </c>
      <c r="J22" s="41">
        <f>IF(OR(I22="",D22="",D22=0,I22=0),"",I22/D22)</f>
        <v/>
      </c>
      <c r="K22" s="25">
        <f>IF(OR(F22="",I22="",I22=0),"",F22/I22)</f>
        <v/>
      </c>
      <c r="L22" s="22" t="n"/>
    </row>
    <row r="23" ht="22" customHeight="1">
      <c r="A23" s="27" t="n">
        <v>20</v>
      </c>
      <c r="B23" s="28" t="n"/>
      <c r="C23" s="29" t="n"/>
      <c r="D23" s="42" t="n"/>
      <c r="E23" s="30" t="n"/>
      <c r="F23" s="30">
        <f>IF(OR(D23="",E23=""),"",D23*E23)</f>
        <v/>
      </c>
      <c r="G23" s="27" t="n"/>
      <c r="H23" s="27" t="n"/>
      <c r="I23" s="29">
        <f>IF(OR(C23="",C22=""),"",C23-C22)</f>
        <v/>
      </c>
      <c r="J23" s="42">
        <f>IF(OR(I23="",D23="",D23=0,I23=0),"",I23/D23)</f>
        <v/>
      </c>
      <c r="K23" s="30">
        <f>IF(OR(F23="",I23="",I23=0),"",F23/I23)</f>
        <v/>
      </c>
      <c r="L23" s="27" t="n"/>
    </row>
    <row r="24" ht="22" customHeight="1">
      <c r="A24" s="22" t="n">
        <v>21</v>
      </c>
      <c r="B24" s="23" t="n"/>
      <c r="C24" s="24" t="n"/>
      <c r="D24" s="41" t="n"/>
      <c r="E24" s="25" t="n"/>
      <c r="F24" s="25">
        <f>IF(OR(D24="",E24=""),"",D24*E24)</f>
        <v/>
      </c>
      <c r="G24" s="22" t="n"/>
      <c r="H24" s="22" t="n"/>
      <c r="I24" s="24">
        <f>IF(OR(C24="",C23=""),"",C24-C23)</f>
        <v/>
      </c>
      <c r="J24" s="41">
        <f>IF(OR(I24="",D24="",D24=0,I24=0),"",I24/D24)</f>
        <v/>
      </c>
      <c r="K24" s="25">
        <f>IF(OR(F24="",I24="",I24=0),"",F24/I24)</f>
        <v/>
      </c>
      <c r="L24" s="22" t="n"/>
    </row>
    <row r="25" ht="22" customHeight="1">
      <c r="A25" s="27" t="n">
        <v>22</v>
      </c>
      <c r="B25" s="28" t="n"/>
      <c r="C25" s="29" t="n"/>
      <c r="D25" s="42" t="n"/>
      <c r="E25" s="30" t="n"/>
      <c r="F25" s="30">
        <f>IF(OR(D25="",E25=""),"",D25*E25)</f>
        <v/>
      </c>
      <c r="G25" s="27" t="n"/>
      <c r="H25" s="27" t="n"/>
      <c r="I25" s="29">
        <f>IF(OR(C25="",C24=""),"",C25-C24)</f>
        <v/>
      </c>
      <c r="J25" s="42">
        <f>IF(OR(I25="",D25="",D25=0,I25=0),"",I25/D25)</f>
        <v/>
      </c>
      <c r="K25" s="30">
        <f>IF(OR(F25="",I25="",I25=0),"",F25/I25)</f>
        <v/>
      </c>
      <c r="L25" s="27" t="n"/>
    </row>
    <row r="26" ht="22" customHeight="1">
      <c r="A26" s="22" t="n">
        <v>23</v>
      </c>
      <c r="B26" s="23" t="n"/>
      <c r="C26" s="24" t="n"/>
      <c r="D26" s="41" t="n"/>
      <c r="E26" s="25" t="n"/>
      <c r="F26" s="25">
        <f>IF(OR(D26="",E26=""),"",D26*E26)</f>
        <v/>
      </c>
      <c r="G26" s="22" t="n"/>
      <c r="H26" s="22" t="n"/>
      <c r="I26" s="24">
        <f>IF(OR(C26="",C25=""),"",C26-C25)</f>
        <v/>
      </c>
      <c r="J26" s="41">
        <f>IF(OR(I26="",D26="",D26=0,I26=0),"",I26/D26)</f>
        <v/>
      </c>
      <c r="K26" s="25">
        <f>IF(OR(F26="",I26="",I26=0),"",F26/I26)</f>
        <v/>
      </c>
      <c r="L26" s="22" t="n"/>
    </row>
    <row r="27" ht="22" customHeight="1">
      <c r="A27" s="27" t="n">
        <v>24</v>
      </c>
      <c r="B27" s="28" t="n"/>
      <c r="C27" s="29" t="n"/>
      <c r="D27" s="42" t="n"/>
      <c r="E27" s="30" t="n"/>
      <c r="F27" s="30">
        <f>IF(OR(D27="",E27=""),"",D27*E27)</f>
        <v/>
      </c>
      <c r="G27" s="27" t="n"/>
      <c r="H27" s="27" t="n"/>
      <c r="I27" s="29">
        <f>IF(OR(C27="",C26=""),"",C27-C26)</f>
        <v/>
      </c>
      <c r="J27" s="42">
        <f>IF(OR(I27="",D27="",D27=0,I27=0),"",I27/D27)</f>
        <v/>
      </c>
      <c r="K27" s="30">
        <f>IF(OR(F27="",I27="",I27=0),"",F27/I27)</f>
        <v/>
      </c>
      <c r="L27" s="27" t="n"/>
    </row>
    <row r="28" ht="22" customHeight="1">
      <c r="A28" s="22" t="n">
        <v>25</v>
      </c>
      <c r="B28" s="23" t="n"/>
      <c r="C28" s="24" t="n"/>
      <c r="D28" s="41" t="n"/>
      <c r="E28" s="25" t="n"/>
      <c r="F28" s="25">
        <f>IF(OR(D28="",E28=""),"",D28*E28)</f>
        <v/>
      </c>
      <c r="G28" s="22" t="n"/>
      <c r="H28" s="22" t="n"/>
      <c r="I28" s="24">
        <f>IF(OR(C28="",C27=""),"",C28-C27)</f>
        <v/>
      </c>
      <c r="J28" s="41">
        <f>IF(OR(I28="",D28="",D28=0,I28=0),"",I28/D28)</f>
        <v/>
      </c>
      <c r="K28" s="25">
        <f>IF(OR(F28="",I28="",I28=0),"",F28/I28)</f>
        <v/>
      </c>
      <c r="L28" s="22" t="n"/>
    </row>
    <row r="29" ht="22" customHeight="1">
      <c r="A29" s="27" t="n">
        <v>26</v>
      </c>
      <c r="B29" s="28" t="n"/>
      <c r="C29" s="29" t="n"/>
      <c r="D29" s="42" t="n"/>
      <c r="E29" s="30" t="n"/>
      <c r="F29" s="30">
        <f>IF(OR(D29="",E29=""),"",D29*E29)</f>
        <v/>
      </c>
      <c r="G29" s="27" t="n"/>
      <c r="H29" s="27" t="n"/>
      <c r="I29" s="29">
        <f>IF(OR(C29="",C28=""),"",C29-C28)</f>
        <v/>
      </c>
      <c r="J29" s="42">
        <f>IF(OR(I29="",D29="",D29=0,I29=0),"",I29/D29)</f>
        <v/>
      </c>
      <c r="K29" s="30">
        <f>IF(OR(F29="",I29="",I29=0),"",F29/I29)</f>
        <v/>
      </c>
      <c r="L29" s="27" t="n"/>
    </row>
    <row r="30" ht="22" customHeight="1">
      <c r="A30" s="22" t="n">
        <v>27</v>
      </c>
      <c r="B30" s="23" t="n"/>
      <c r="C30" s="24" t="n"/>
      <c r="D30" s="41" t="n"/>
      <c r="E30" s="25" t="n"/>
      <c r="F30" s="25">
        <f>IF(OR(D30="",E30=""),"",D30*E30)</f>
        <v/>
      </c>
      <c r="G30" s="22" t="n"/>
      <c r="H30" s="22" t="n"/>
      <c r="I30" s="24">
        <f>IF(OR(C30="",C29=""),"",C30-C29)</f>
        <v/>
      </c>
      <c r="J30" s="41">
        <f>IF(OR(I30="",D30="",D30=0,I30=0),"",I30/D30)</f>
        <v/>
      </c>
      <c r="K30" s="25">
        <f>IF(OR(F30="",I30="",I30=0),"",F30/I30)</f>
        <v/>
      </c>
      <c r="L30" s="22" t="n"/>
    </row>
    <row r="31" ht="22" customHeight="1">
      <c r="A31" s="27" t="n">
        <v>28</v>
      </c>
      <c r="B31" s="28" t="n"/>
      <c r="C31" s="29" t="n"/>
      <c r="D31" s="42" t="n"/>
      <c r="E31" s="30" t="n"/>
      <c r="F31" s="30">
        <f>IF(OR(D31="",E31=""),"",D31*E31)</f>
        <v/>
      </c>
      <c r="G31" s="27" t="n"/>
      <c r="H31" s="27" t="n"/>
      <c r="I31" s="29">
        <f>IF(OR(C31="",C30=""),"",C31-C30)</f>
        <v/>
      </c>
      <c r="J31" s="42">
        <f>IF(OR(I31="",D31="",D31=0,I31=0),"",I31/D31)</f>
        <v/>
      </c>
      <c r="K31" s="30">
        <f>IF(OR(F31="",I31="",I31=0),"",F31/I31)</f>
        <v/>
      </c>
      <c r="L31" s="27" t="n"/>
    </row>
    <row r="32" ht="22" customHeight="1">
      <c r="A32" s="22" t="n">
        <v>29</v>
      </c>
      <c r="B32" s="23" t="n"/>
      <c r="C32" s="24" t="n"/>
      <c r="D32" s="41" t="n"/>
      <c r="E32" s="25" t="n"/>
      <c r="F32" s="25">
        <f>IF(OR(D32="",E32=""),"",D32*E32)</f>
        <v/>
      </c>
      <c r="G32" s="22" t="n"/>
      <c r="H32" s="22" t="n"/>
      <c r="I32" s="24">
        <f>IF(OR(C32="",C31=""),"",C32-C31)</f>
        <v/>
      </c>
      <c r="J32" s="41">
        <f>IF(OR(I32="",D32="",D32=0,I32=0),"",I32/D32)</f>
        <v/>
      </c>
      <c r="K32" s="25">
        <f>IF(OR(F32="",I32="",I32=0),"",F32/I32)</f>
        <v/>
      </c>
      <c r="L32" s="22" t="n"/>
    </row>
    <row r="33" ht="22" customHeight="1">
      <c r="A33" s="27" t="n">
        <v>30</v>
      </c>
      <c r="B33" s="28" t="n"/>
      <c r="C33" s="29" t="n"/>
      <c r="D33" s="42" t="n"/>
      <c r="E33" s="30" t="n"/>
      <c r="F33" s="30">
        <f>IF(OR(D33="",E33=""),"",D33*E33)</f>
        <v/>
      </c>
      <c r="G33" s="27" t="n"/>
      <c r="H33" s="27" t="n"/>
      <c r="I33" s="29">
        <f>IF(OR(C33="",C32=""),"",C33-C32)</f>
        <v/>
      </c>
      <c r="J33" s="42">
        <f>IF(OR(I33="",D33="",D33=0,I33=0),"",I33/D33)</f>
        <v/>
      </c>
      <c r="K33" s="30">
        <f>IF(OR(F33="",I33="",I33=0),"",F33/I33)</f>
        <v/>
      </c>
      <c r="L33" s="27" t="n"/>
    </row>
    <row r="34" ht="22" customHeight="1">
      <c r="A34" s="22" t="n">
        <v>31</v>
      </c>
      <c r="B34" s="23" t="n"/>
      <c r="C34" s="24" t="n"/>
      <c r="D34" s="41" t="n"/>
      <c r="E34" s="25" t="n"/>
      <c r="F34" s="25">
        <f>IF(OR(D34="",E34=""),"",D34*E34)</f>
        <v/>
      </c>
      <c r="G34" s="22" t="n"/>
      <c r="H34" s="22" t="n"/>
      <c r="I34" s="24">
        <f>IF(OR(C34="",C33=""),"",C34-C33)</f>
        <v/>
      </c>
      <c r="J34" s="41">
        <f>IF(OR(I34="",D34="",D34=0,I34=0),"",I34/D34)</f>
        <v/>
      </c>
      <c r="K34" s="25">
        <f>IF(OR(F34="",I34="",I34=0),"",F34/I34)</f>
        <v/>
      </c>
      <c r="L34" s="22" t="n"/>
    </row>
    <row r="35" ht="22" customHeight="1">
      <c r="A35" s="27" t="n">
        <v>32</v>
      </c>
      <c r="B35" s="28" t="n"/>
      <c r="C35" s="29" t="n"/>
      <c r="D35" s="42" t="n"/>
      <c r="E35" s="30" t="n"/>
      <c r="F35" s="30">
        <f>IF(OR(D35="",E35=""),"",D35*E35)</f>
        <v/>
      </c>
      <c r="G35" s="27" t="n"/>
      <c r="H35" s="27" t="n"/>
      <c r="I35" s="29">
        <f>IF(OR(C35="",C34=""),"",C35-C34)</f>
        <v/>
      </c>
      <c r="J35" s="42">
        <f>IF(OR(I35="",D35="",D35=0,I35=0),"",I35/D35)</f>
        <v/>
      </c>
      <c r="K35" s="30">
        <f>IF(OR(F35="",I35="",I35=0),"",F35/I35)</f>
        <v/>
      </c>
      <c r="L35" s="27" t="n"/>
    </row>
    <row r="36" ht="22" customHeight="1">
      <c r="A36" s="22" t="n">
        <v>33</v>
      </c>
      <c r="B36" s="23" t="n"/>
      <c r="C36" s="24" t="n"/>
      <c r="D36" s="41" t="n"/>
      <c r="E36" s="25" t="n"/>
      <c r="F36" s="25">
        <f>IF(OR(D36="",E36=""),"",D36*E36)</f>
        <v/>
      </c>
      <c r="G36" s="22" t="n"/>
      <c r="H36" s="22" t="n"/>
      <c r="I36" s="24">
        <f>IF(OR(C36="",C35=""),"",C36-C35)</f>
        <v/>
      </c>
      <c r="J36" s="41">
        <f>IF(OR(I36="",D36="",D36=0,I36=0),"",I36/D36)</f>
        <v/>
      </c>
      <c r="K36" s="25">
        <f>IF(OR(F36="",I36="",I36=0),"",F36/I36)</f>
        <v/>
      </c>
      <c r="L36" s="22" t="n"/>
    </row>
    <row r="37" ht="22" customHeight="1">
      <c r="A37" s="27" t="n">
        <v>34</v>
      </c>
      <c r="B37" s="28" t="n"/>
      <c r="C37" s="29" t="n"/>
      <c r="D37" s="42" t="n"/>
      <c r="E37" s="30" t="n"/>
      <c r="F37" s="30">
        <f>IF(OR(D37="",E37=""),"",D37*E37)</f>
        <v/>
      </c>
      <c r="G37" s="27" t="n"/>
      <c r="H37" s="27" t="n"/>
      <c r="I37" s="29">
        <f>IF(OR(C37="",C36=""),"",C37-C36)</f>
        <v/>
      </c>
      <c r="J37" s="42">
        <f>IF(OR(I37="",D37="",D37=0,I37=0),"",I37/D37)</f>
        <v/>
      </c>
      <c r="K37" s="30">
        <f>IF(OR(F37="",I37="",I37=0),"",F37/I37)</f>
        <v/>
      </c>
      <c r="L37" s="27" t="n"/>
    </row>
    <row r="38" ht="22" customHeight="1">
      <c r="A38" s="22" t="n">
        <v>35</v>
      </c>
      <c r="B38" s="23" t="n"/>
      <c r="C38" s="24" t="n"/>
      <c r="D38" s="41" t="n"/>
      <c r="E38" s="25" t="n"/>
      <c r="F38" s="25">
        <f>IF(OR(D38="",E38=""),"",D38*E38)</f>
        <v/>
      </c>
      <c r="G38" s="22" t="n"/>
      <c r="H38" s="22" t="n"/>
      <c r="I38" s="24">
        <f>IF(OR(C38="",C37=""),"",C38-C37)</f>
        <v/>
      </c>
      <c r="J38" s="41">
        <f>IF(OR(I38="",D38="",D38=0,I38=0),"",I38/D38)</f>
        <v/>
      </c>
      <c r="K38" s="25">
        <f>IF(OR(F38="",I38="",I38=0),"",F38/I38)</f>
        <v/>
      </c>
      <c r="L38" s="22" t="n"/>
    </row>
    <row r="39" ht="22" customHeight="1">
      <c r="A39" s="27" t="n">
        <v>36</v>
      </c>
      <c r="B39" s="28" t="n"/>
      <c r="C39" s="29" t="n"/>
      <c r="D39" s="42" t="n"/>
      <c r="E39" s="30" t="n"/>
      <c r="F39" s="30">
        <f>IF(OR(D39="",E39=""),"",D39*E39)</f>
        <v/>
      </c>
      <c r="G39" s="27" t="n"/>
      <c r="H39" s="27" t="n"/>
      <c r="I39" s="29">
        <f>IF(OR(C39="",C38=""),"",C39-C38)</f>
        <v/>
      </c>
      <c r="J39" s="42">
        <f>IF(OR(I39="",D39="",D39=0,I39=0),"",I39/D39)</f>
        <v/>
      </c>
      <c r="K39" s="30">
        <f>IF(OR(F39="",I39="",I39=0),"",F39/I39)</f>
        <v/>
      </c>
      <c r="L39" s="27" t="n"/>
    </row>
    <row r="40" ht="22" customHeight="1">
      <c r="A40" s="22" t="n">
        <v>37</v>
      </c>
      <c r="B40" s="23" t="n"/>
      <c r="C40" s="24" t="n"/>
      <c r="D40" s="41" t="n"/>
      <c r="E40" s="25" t="n"/>
      <c r="F40" s="25">
        <f>IF(OR(D40="",E40=""),"",D40*E40)</f>
        <v/>
      </c>
      <c r="G40" s="22" t="n"/>
      <c r="H40" s="22" t="n"/>
      <c r="I40" s="24">
        <f>IF(OR(C40="",C39=""),"",C40-C39)</f>
        <v/>
      </c>
      <c r="J40" s="41">
        <f>IF(OR(I40="",D40="",D40=0,I40=0),"",I40/D40)</f>
        <v/>
      </c>
      <c r="K40" s="25">
        <f>IF(OR(F40="",I40="",I40=0),"",F40/I40)</f>
        <v/>
      </c>
      <c r="L40" s="22" t="n"/>
    </row>
    <row r="41" ht="22" customHeight="1">
      <c r="A41" s="27" t="n">
        <v>38</v>
      </c>
      <c r="B41" s="28" t="n"/>
      <c r="C41" s="29" t="n"/>
      <c r="D41" s="42" t="n"/>
      <c r="E41" s="30" t="n"/>
      <c r="F41" s="30">
        <f>IF(OR(D41="",E41=""),"",D41*E41)</f>
        <v/>
      </c>
      <c r="G41" s="27" t="n"/>
      <c r="H41" s="27" t="n"/>
      <c r="I41" s="29">
        <f>IF(OR(C41="",C40=""),"",C41-C40)</f>
        <v/>
      </c>
      <c r="J41" s="42">
        <f>IF(OR(I41="",D41="",D41=0,I41=0),"",I41/D41)</f>
        <v/>
      </c>
      <c r="K41" s="30">
        <f>IF(OR(F41="",I41="",I41=0),"",F41/I41)</f>
        <v/>
      </c>
      <c r="L41" s="27" t="n"/>
    </row>
    <row r="42" ht="22" customHeight="1">
      <c r="A42" s="22" t="n">
        <v>39</v>
      </c>
      <c r="B42" s="23" t="n"/>
      <c r="C42" s="24" t="n"/>
      <c r="D42" s="41" t="n"/>
      <c r="E42" s="25" t="n"/>
      <c r="F42" s="25">
        <f>IF(OR(D42="",E42=""),"",D42*E42)</f>
        <v/>
      </c>
      <c r="G42" s="22" t="n"/>
      <c r="H42" s="22" t="n"/>
      <c r="I42" s="24">
        <f>IF(OR(C42="",C41=""),"",C42-C41)</f>
        <v/>
      </c>
      <c r="J42" s="41">
        <f>IF(OR(I42="",D42="",D42=0,I42=0),"",I42/D42)</f>
        <v/>
      </c>
      <c r="K42" s="25">
        <f>IF(OR(F42="",I42="",I42=0),"",F42/I42)</f>
        <v/>
      </c>
      <c r="L42" s="22" t="n"/>
    </row>
    <row r="43" ht="22" customHeight="1">
      <c r="A43" s="27" t="n">
        <v>40</v>
      </c>
      <c r="B43" s="28" t="n"/>
      <c r="C43" s="29" t="n"/>
      <c r="D43" s="42" t="n"/>
      <c r="E43" s="30" t="n"/>
      <c r="F43" s="30">
        <f>IF(OR(D43="",E43=""),"",D43*E43)</f>
        <v/>
      </c>
      <c r="G43" s="27" t="n"/>
      <c r="H43" s="27" t="n"/>
      <c r="I43" s="29">
        <f>IF(OR(C43="",C42=""),"",C43-C42)</f>
        <v/>
      </c>
      <c r="J43" s="42">
        <f>IF(OR(I43="",D43="",D43=0,I43=0),"",I43/D43)</f>
        <v/>
      </c>
      <c r="K43" s="30">
        <f>IF(OR(F43="",I43="",I43=0),"",F43/I43)</f>
        <v/>
      </c>
      <c r="L43" s="27" t="n"/>
    </row>
    <row r="44" ht="22" customHeight="1">
      <c r="A44" s="22" t="n">
        <v>41</v>
      </c>
      <c r="B44" s="23" t="n"/>
      <c r="C44" s="24" t="n"/>
      <c r="D44" s="41" t="n"/>
      <c r="E44" s="25" t="n"/>
      <c r="F44" s="25">
        <f>IF(OR(D44="",E44=""),"",D44*E44)</f>
        <v/>
      </c>
      <c r="G44" s="22" t="n"/>
      <c r="H44" s="22" t="n"/>
      <c r="I44" s="24">
        <f>IF(OR(C44="",C43=""),"",C44-C43)</f>
        <v/>
      </c>
      <c r="J44" s="41">
        <f>IF(OR(I44="",D44="",D44=0,I44=0),"",I44/D44)</f>
        <v/>
      </c>
      <c r="K44" s="25">
        <f>IF(OR(F44="",I44="",I44=0),"",F44/I44)</f>
        <v/>
      </c>
      <c r="L44" s="22" t="n"/>
    </row>
    <row r="45" ht="22" customHeight="1">
      <c r="A45" s="27" t="n">
        <v>42</v>
      </c>
      <c r="B45" s="28" t="n"/>
      <c r="C45" s="29" t="n"/>
      <c r="D45" s="42" t="n"/>
      <c r="E45" s="30" t="n"/>
      <c r="F45" s="30">
        <f>IF(OR(D45="",E45=""),"",D45*E45)</f>
        <v/>
      </c>
      <c r="G45" s="27" t="n"/>
      <c r="H45" s="27" t="n"/>
      <c r="I45" s="29">
        <f>IF(OR(C45="",C44=""),"",C45-C44)</f>
        <v/>
      </c>
      <c r="J45" s="42">
        <f>IF(OR(I45="",D45="",D45=0,I45=0),"",I45/D45)</f>
        <v/>
      </c>
      <c r="K45" s="30">
        <f>IF(OR(F45="",I45="",I45=0),"",F45/I45)</f>
        <v/>
      </c>
      <c r="L45" s="27" t="n"/>
    </row>
    <row r="46" ht="22" customHeight="1">
      <c r="A46" s="22" t="n">
        <v>43</v>
      </c>
      <c r="B46" s="23" t="n"/>
      <c r="C46" s="24" t="n"/>
      <c r="D46" s="41" t="n"/>
      <c r="E46" s="25" t="n"/>
      <c r="F46" s="25">
        <f>IF(OR(D46="",E46=""),"",D46*E46)</f>
        <v/>
      </c>
      <c r="G46" s="22" t="n"/>
      <c r="H46" s="22" t="n"/>
      <c r="I46" s="24">
        <f>IF(OR(C46="",C45=""),"",C46-C45)</f>
        <v/>
      </c>
      <c r="J46" s="41">
        <f>IF(OR(I46="",D46="",D46=0,I46=0),"",I46/D46)</f>
        <v/>
      </c>
      <c r="K46" s="25">
        <f>IF(OR(F46="",I46="",I46=0),"",F46/I46)</f>
        <v/>
      </c>
      <c r="L46" s="22" t="n"/>
    </row>
    <row r="47" ht="22" customHeight="1">
      <c r="A47" s="27" t="n">
        <v>44</v>
      </c>
      <c r="B47" s="28" t="n"/>
      <c r="C47" s="29" t="n"/>
      <c r="D47" s="42" t="n"/>
      <c r="E47" s="30" t="n"/>
      <c r="F47" s="30">
        <f>IF(OR(D47="",E47=""),"",D47*E47)</f>
        <v/>
      </c>
      <c r="G47" s="27" t="n"/>
      <c r="H47" s="27" t="n"/>
      <c r="I47" s="29">
        <f>IF(OR(C47="",C46=""),"",C47-C46)</f>
        <v/>
      </c>
      <c r="J47" s="42">
        <f>IF(OR(I47="",D47="",D47=0,I47=0),"",I47/D47)</f>
        <v/>
      </c>
      <c r="K47" s="30">
        <f>IF(OR(F47="",I47="",I47=0),"",F47/I47)</f>
        <v/>
      </c>
      <c r="L47" s="27" t="n"/>
    </row>
    <row r="48" ht="22" customHeight="1">
      <c r="A48" s="22" t="n">
        <v>45</v>
      </c>
      <c r="B48" s="23" t="n"/>
      <c r="C48" s="24" t="n"/>
      <c r="D48" s="41" t="n"/>
      <c r="E48" s="25" t="n"/>
      <c r="F48" s="25">
        <f>IF(OR(D48="",E48=""),"",D48*E48)</f>
        <v/>
      </c>
      <c r="G48" s="22" t="n"/>
      <c r="H48" s="22" t="n"/>
      <c r="I48" s="24">
        <f>IF(OR(C48="",C47=""),"",C48-C47)</f>
        <v/>
      </c>
      <c r="J48" s="41">
        <f>IF(OR(I48="",D48="",D48=0,I48=0),"",I48/D48)</f>
        <v/>
      </c>
      <c r="K48" s="25">
        <f>IF(OR(F48="",I48="",I48=0),"",F48/I48)</f>
        <v/>
      </c>
      <c r="L48" s="22" t="n"/>
    </row>
    <row r="49" ht="22" customHeight="1">
      <c r="A49" s="27" t="n">
        <v>46</v>
      </c>
      <c r="B49" s="28" t="n"/>
      <c r="C49" s="29" t="n"/>
      <c r="D49" s="42" t="n"/>
      <c r="E49" s="30" t="n"/>
      <c r="F49" s="30">
        <f>IF(OR(D49="",E49=""),"",D49*E49)</f>
        <v/>
      </c>
      <c r="G49" s="27" t="n"/>
      <c r="H49" s="27" t="n"/>
      <c r="I49" s="29">
        <f>IF(OR(C49="",C48=""),"",C49-C48)</f>
        <v/>
      </c>
      <c r="J49" s="42">
        <f>IF(OR(I49="",D49="",D49=0,I49=0),"",I49/D49)</f>
        <v/>
      </c>
      <c r="K49" s="30">
        <f>IF(OR(F49="",I49="",I49=0),"",F49/I49)</f>
        <v/>
      </c>
      <c r="L49" s="27" t="n"/>
    </row>
    <row r="50" ht="22" customHeight="1">
      <c r="A50" s="22" t="n">
        <v>47</v>
      </c>
      <c r="B50" s="23" t="n"/>
      <c r="C50" s="24" t="n"/>
      <c r="D50" s="41" t="n"/>
      <c r="E50" s="25" t="n"/>
      <c r="F50" s="25">
        <f>IF(OR(D50="",E50=""),"",D50*E50)</f>
        <v/>
      </c>
      <c r="G50" s="22" t="n"/>
      <c r="H50" s="22" t="n"/>
      <c r="I50" s="24">
        <f>IF(OR(C50="",C49=""),"",C50-C49)</f>
        <v/>
      </c>
      <c r="J50" s="41">
        <f>IF(OR(I50="",D50="",D50=0,I50=0),"",I50/D50)</f>
        <v/>
      </c>
      <c r="K50" s="25">
        <f>IF(OR(F50="",I50="",I50=0),"",F50/I50)</f>
        <v/>
      </c>
      <c r="L50" s="22" t="n"/>
    </row>
    <row r="51" ht="22" customHeight="1">
      <c r="A51" s="27" t="n">
        <v>48</v>
      </c>
      <c r="B51" s="28" t="n"/>
      <c r="C51" s="29" t="n"/>
      <c r="D51" s="42" t="n"/>
      <c r="E51" s="30" t="n"/>
      <c r="F51" s="30">
        <f>IF(OR(D51="",E51=""),"",D51*E51)</f>
        <v/>
      </c>
      <c r="G51" s="27" t="n"/>
      <c r="H51" s="27" t="n"/>
      <c r="I51" s="29">
        <f>IF(OR(C51="",C50=""),"",C51-C50)</f>
        <v/>
      </c>
      <c r="J51" s="42">
        <f>IF(OR(I51="",D51="",D51=0,I51=0),"",I51/D51)</f>
        <v/>
      </c>
      <c r="K51" s="30">
        <f>IF(OR(F51="",I51="",I51=0),"",F51/I51)</f>
        <v/>
      </c>
      <c r="L51" s="27" t="n"/>
    </row>
    <row r="52" ht="22" customHeight="1">
      <c r="A52" s="22" t="n">
        <v>49</v>
      </c>
      <c r="B52" s="23" t="n"/>
      <c r="C52" s="24" t="n"/>
      <c r="D52" s="41" t="n"/>
      <c r="E52" s="25" t="n"/>
      <c r="F52" s="25">
        <f>IF(OR(D52="",E52=""),"",D52*E52)</f>
        <v/>
      </c>
      <c r="G52" s="22" t="n"/>
      <c r="H52" s="22" t="n"/>
      <c r="I52" s="24">
        <f>IF(OR(C52="",C51=""),"",C52-C51)</f>
        <v/>
      </c>
      <c r="J52" s="41">
        <f>IF(OR(I52="",D52="",D52=0,I52=0),"",I52/D52)</f>
        <v/>
      </c>
      <c r="K52" s="25">
        <f>IF(OR(F52="",I52="",I52=0),"",F52/I52)</f>
        <v/>
      </c>
      <c r="L52" s="22" t="n"/>
    </row>
    <row r="53" ht="22" customHeight="1">
      <c r="A53" s="27" t="n">
        <v>50</v>
      </c>
      <c r="B53" s="28" t="n"/>
      <c r="C53" s="29" t="n"/>
      <c r="D53" s="42" t="n"/>
      <c r="E53" s="30" t="n"/>
      <c r="F53" s="30">
        <f>IF(OR(D53="",E53=""),"",D53*E53)</f>
        <v/>
      </c>
      <c r="G53" s="27" t="n"/>
      <c r="H53" s="27" t="n"/>
      <c r="I53" s="29">
        <f>IF(OR(C53="",C52=""),"",C53-C52)</f>
        <v/>
      </c>
      <c r="J53" s="42">
        <f>IF(OR(I53="",D53="",D53=0,I53=0),"",I53/D53)</f>
        <v/>
      </c>
      <c r="K53" s="30">
        <f>IF(OR(F53="",I53="",I53=0),"",F53/I53)</f>
        <v/>
      </c>
      <c r="L53" s="27" t="n"/>
    </row>
    <row r="54" ht="22" customHeight="1">
      <c r="A54" s="22" t="n">
        <v>51</v>
      </c>
      <c r="B54" s="23" t="n"/>
      <c r="C54" s="24" t="n"/>
      <c r="D54" s="41" t="n"/>
      <c r="E54" s="25" t="n"/>
      <c r="F54" s="25">
        <f>IF(OR(D54="",E54=""),"",D54*E54)</f>
        <v/>
      </c>
      <c r="G54" s="22" t="n"/>
      <c r="H54" s="22" t="n"/>
      <c r="I54" s="24">
        <f>IF(OR(C54="",C53=""),"",C54-C53)</f>
        <v/>
      </c>
      <c r="J54" s="41">
        <f>IF(OR(I54="",D54="",D54=0,I54=0),"",I54/D54)</f>
        <v/>
      </c>
      <c r="K54" s="25">
        <f>IF(OR(F54="",I54="",I54=0),"",F54/I54)</f>
        <v/>
      </c>
      <c r="L54" s="22" t="n"/>
    </row>
    <row r="55" ht="22" customHeight="1">
      <c r="A55" s="27" t="n">
        <v>52</v>
      </c>
      <c r="B55" s="28" t="n"/>
      <c r="C55" s="29" t="n"/>
      <c r="D55" s="42" t="n"/>
      <c r="E55" s="30" t="n"/>
      <c r="F55" s="30">
        <f>IF(OR(D55="",E55=""),"",D55*E55)</f>
        <v/>
      </c>
      <c r="G55" s="27" t="n"/>
      <c r="H55" s="27" t="n"/>
      <c r="I55" s="29">
        <f>IF(OR(C55="",C54=""),"",C55-C54)</f>
        <v/>
      </c>
      <c r="J55" s="42">
        <f>IF(OR(I55="",D55="",D55=0,I55=0),"",I55/D55)</f>
        <v/>
      </c>
      <c r="K55" s="30">
        <f>IF(OR(F55="",I55="",I55=0),"",F55/I55)</f>
        <v/>
      </c>
      <c r="L55" s="27" t="n"/>
    </row>
    <row r="56" ht="22" customHeight="1">
      <c r="A56" s="22" t="n">
        <v>53</v>
      </c>
      <c r="B56" s="23" t="n"/>
      <c r="C56" s="24" t="n"/>
      <c r="D56" s="41" t="n"/>
      <c r="E56" s="25" t="n"/>
      <c r="F56" s="25">
        <f>IF(OR(D56="",E56=""),"",D56*E56)</f>
        <v/>
      </c>
      <c r="G56" s="22" t="n"/>
      <c r="H56" s="22" t="n"/>
      <c r="I56" s="24">
        <f>IF(OR(C56="",C55=""),"",C56-C55)</f>
        <v/>
      </c>
      <c r="J56" s="41">
        <f>IF(OR(I56="",D56="",D56=0,I56=0),"",I56/D56)</f>
        <v/>
      </c>
      <c r="K56" s="25">
        <f>IF(OR(F56="",I56="",I56=0),"",F56/I56)</f>
        <v/>
      </c>
      <c r="L56" s="22" t="n"/>
    </row>
    <row r="57" ht="22" customHeight="1">
      <c r="A57" s="27" t="n">
        <v>54</v>
      </c>
      <c r="B57" s="28" t="n"/>
      <c r="C57" s="29" t="n"/>
      <c r="D57" s="42" t="n"/>
      <c r="E57" s="30" t="n"/>
      <c r="F57" s="30">
        <f>IF(OR(D57="",E57=""),"",D57*E57)</f>
        <v/>
      </c>
      <c r="G57" s="27" t="n"/>
      <c r="H57" s="27" t="n"/>
      <c r="I57" s="29">
        <f>IF(OR(C57="",C56=""),"",C57-C56)</f>
        <v/>
      </c>
      <c r="J57" s="42">
        <f>IF(OR(I57="",D57="",D57=0,I57=0),"",I57/D57)</f>
        <v/>
      </c>
      <c r="K57" s="30">
        <f>IF(OR(F57="",I57="",I57=0),"",F57/I57)</f>
        <v/>
      </c>
      <c r="L57" s="27" t="n"/>
    </row>
    <row r="58" ht="22" customHeight="1">
      <c r="A58" s="22" t="n">
        <v>55</v>
      </c>
      <c r="B58" s="23" t="n"/>
      <c r="C58" s="24" t="n"/>
      <c r="D58" s="41" t="n"/>
      <c r="E58" s="25" t="n"/>
      <c r="F58" s="25">
        <f>IF(OR(D58="",E58=""),"",D58*E58)</f>
        <v/>
      </c>
      <c r="G58" s="22" t="n"/>
      <c r="H58" s="22" t="n"/>
      <c r="I58" s="24">
        <f>IF(OR(C58="",C57=""),"",C58-C57)</f>
        <v/>
      </c>
      <c r="J58" s="41">
        <f>IF(OR(I58="",D58="",D58=0,I58=0),"",I58/D58)</f>
        <v/>
      </c>
      <c r="K58" s="25">
        <f>IF(OR(F58="",I58="",I58=0),"",F58/I58)</f>
        <v/>
      </c>
      <c r="L58" s="22" t="n"/>
    </row>
    <row r="59" ht="22" customHeight="1">
      <c r="A59" s="27" t="n">
        <v>56</v>
      </c>
      <c r="B59" s="28" t="n"/>
      <c r="C59" s="29" t="n"/>
      <c r="D59" s="42" t="n"/>
      <c r="E59" s="30" t="n"/>
      <c r="F59" s="30">
        <f>IF(OR(D59="",E59=""),"",D59*E59)</f>
        <v/>
      </c>
      <c r="G59" s="27" t="n"/>
      <c r="H59" s="27" t="n"/>
      <c r="I59" s="29">
        <f>IF(OR(C59="",C58=""),"",C59-C58)</f>
        <v/>
      </c>
      <c r="J59" s="42">
        <f>IF(OR(I59="",D59="",D59=0,I59=0),"",I59/D59)</f>
        <v/>
      </c>
      <c r="K59" s="30">
        <f>IF(OR(F59="",I59="",I59=0),"",F59/I59)</f>
        <v/>
      </c>
      <c r="L59" s="27" t="n"/>
    </row>
    <row r="60" ht="22" customHeight="1">
      <c r="A60" s="22" t="n">
        <v>57</v>
      </c>
      <c r="B60" s="23" t="n"/>
      <c r="C60" s="24" t="n"/>
      <c r="D60" s="41" t="n"/>
      <c r="E60" s="25" t="n"/>
      <c r="F60" s="25">
        <f>IF(OR(D60="",E60=""),"",D60*E60)</f>
        <v/>
      </c>
      <c r="G60" s="22" t="n"/>
      <c r="H60" s="22" t="n"/>
      <c r="I60" s="24">
        <f>IF(OR(C60="",C59=""),"",C60-C59)</f>
        <v/>
      </c>
      <c r="J60" s="41">
        <f>IF(OR(I60="",D60="",D60=0,I60=0),"",I60/D60)</f>
        <v/>
      </c>
      <c r="K60" s="25">
        <f>IF(OR(F60="",I60="",I60=0),"",F60/I60)</f>
        <v/>
      </c>
      <c r="L60" s="22" t="n"/>
    </row>
    <row r="61" ht="22" customHeight="1">
      <c r="A61" s="27" t="n">
        <v>58</v>
      </c>
      <c r="B61" s="28" t="n"/>
      <c r="C61" s="29" t="n"/>
      <c r="D61" s="42" t="n"/>
      <c r="E61" s="30" t="n"/>
      <c r="F61" s="30">
        <f>IF(OR(D61="",E61=""),"",D61*E61)</f>
        <v/>
      </c>
      <c r="G61" s="27" t="n"/>
      <c r="H61" s="27" t="n"/>
      <c r="I61" s="29">
        <f>IF(OR(C61="",C60=""),"",C61-C60)</f>
        <v/>
      </c>
      <c r="J61" s="42">
        <f>IF(OR(I61="",D61="",D61=0,I61=0),"",I61/D61)</f>
        <v/>
      </c>
      <c r="K61" s="30">
        <f>IF(OR(F61="",I61="",I61=0),"",F61/I61)</f>
        <v/>
      </c>
      <c r="L61" s="27" t="n"/>
    </row>
    <row r="62" ht="22" customHeight="1">
      <c r="A62" s="22" t="n">
        <v>59</v>
      </c>
      <c r="B62" s="23" t="n"/>
      <c r="C62" s="24" t="n"/>
      <c r="D62" s="41" t="n"/>
      <c r="E62" s="25" t="n"/>
      <c r="F62" s="25">
        <f>IF(OR(D62="",E62=""),"",D62*E62)</f>
        <v/>
      </c>
      <c r="G62" s="22" t="n"/>
      <c r="H62" s="22" t="n"/>
      <c r="I62" s="24">
        <f>IF(OR(C62="",C61=""),"",C62-C61)</f>
        <v/>
      </c>
      <c r="J62" s="41">
        <f>IF(OR(I62="",D62="",D62=0,I62=0),"",I62/D62)</f>
        <v/>
      </c>
      <c r="K62" s="25">
        <f>IF(OR(F62="",I62="",I62=0),"",F62/I62)</f>
        <v/>
      </c>
      <c r="L62" s="22" t="n"/>
    </row>
    <row r="63" ht="22" customHeight="1">
      <c r="A63" s="27" t="n">
        <v>60</v>
      </c>
      <c r="B63" s="28" t="n"/>
      <c r="C63" s="29" t="n"/>
      <c r="D63" s="42" t="n"/>
      <c r="E63" s="30" t="n"/>
      <c r="F63" s="30">
        <f>IF(OR(D63="",E63=""),"",D63*E63)</f>
        <v/>
      </c>
      <c r="G63" s="27" t="n"/>
      <c r="H63" s="27" t="n"/>
      <c r="I63" s="29">
        <f>IF(OR(C63="",C62=""),"",C63-C62)</f>
        <v/>
      </c>
      <c r="J63" s="42">
        <f>IF(OR(I63="",D63="",D63=0,I63=0),"",I63/D63)</f>
        <v/>
      </c>
      <c r="K63" s="30">
        <f>IF(OR(F63="",I63="",I63=0),"",F63/I63)</f>
        <v/>
      </c>
      <c r="L63" s="27" t="n"/>
    </row>
    <row r="64" ht="22" customHeight="1">
      <c r="A64" s="22" t="n">
        <v>61</v>
      </c>
      <c r="B64" s="23" t="n"/>
      <c r="C64" s="24" t="n"/>
      <c r="D64" s="41" t="n"/>
      <c r="E64" s="25" t="n"/>
      <c r="F64" s="25">
        <f>IF(OR(D64="",E64=""),"",D64*E64)</f>
        <v/>
      </c>
      <c r="G64" s="22" t="n"/>
      <c r="H64" s="22" t="n"/>
      <c r="I64" s="24">
        <f>IF(OR(C64="",C63=""),"",C64-C63)</f>
        <v/>
      </c>
      <c r="J64" s="41">
        <f>IF(OR(I64="",D64="",D64=0,I64=0),"",I64/D64)</f>
        <v/>
      </c>
      <c r="K64" s="25">
        <f>IF(OR(F64="",I64="",I64=0),"",F64/I64)</f>
        <v/>
      </c>
      <c r="L64" s="22" t="n"/>
    </row>
    <row r="65" ht="22" customHeight="1">
      <c r="A65" s="27" t="n">
        <v>62</v>
      </c>
      <c r="B65" s="28" t="n"/>
      <c r="C65" s="29" t="n"/>
      <c r="D65" s="42" t="n"/>
      <c r="E65" s="30" t="n"/>
      <c r="F65" s="30">
        <f>IF(OR(D65="",E65=""),"",D65*E65)</f>
        <v/>
      </c>
      <c r="G65" s="27" t="n"/>
      <c r="H65" s="27" t="n"/>
      <c r="I65" s="29">
        <f>IF(OR(C65="",C64=""),"",C65-C64)</f>
        <v/>
      </c>
      <c r="J65" s="42">
        <f>IF(OR(I65="",D65="",D65=0,I65=0),"",I65/D65)</f>
        <v/>
      </c>
      <c r="K65" s="30">
        <f>IF(OR(F65="",I65="",I65=0),"",F65/I65)</f>
        <v/>
      </c>
      <c r="L65" s="27" t="n"/>
    </row>
    <row r="66" ht="22" customHeight="1">
      <c r="A66" s="22" t="n">
        <v>63</v>
      </c>
      <c r="B66" s="23" t="n"/>
      <c r="C66" s="24" t="n"/>
      <c r="D66" s="41" t="n"/>
      <c r="E66" s="25" t="n"/>
      <c r="F66" s="25">
        <f>IF(OR(D66="",E66=""),"",D66*E66)</f>
        <v/>
      </c>
      <c r="G66" s="22" t="n"/>
      <c r="H66" s="22" t="n"/>
      <c r="I66" s="24">
        <f>IF(OR(C66="",C65=""),"",C66-C65)</f>
        <v/>
      </c>
      <c r="J66" s="41">
        <f>IF(OR(I66="",D66="",D66=0,I66=0),"",I66/D66)</f>
        <v/>
      </c>
      <c r="K66" s="25">
        <f>IF(OR(F66="",I66="",I66=0),"",F66/I66)</f>
        <v/>
      </c>
      <c r="L66" s="22" t="n"/>
    </row>
    <row r="67" ht="22" customHeight="1">
      <c r="A67" s="27" t="n">
        <v>64</v>
      </c>
      <c r="B67" s="28" t="n"/>
      <c r="C67" s="29" t="n"/>
      <c r="D67" s="42" t="n"/>
      <c r="E67" s="30" t="n"/>
      <c r="F67" s="30">
        <f>IF(OR(D67="",E67=""),"",D67*E67)</f>
        <v/>
      </c>
      <c r="G67" s="27" t="n"/>
      <c r="H67" s="27" t="n"/>
      <c r="I67" s="29">
        <f>IF(OR(C67="",C66=""),"",C67-C66)</f>
        <v/>
      </c>
      <c r="J67" s="42">
        <f>IF(OR(I67="",D67="",D67=0,I67=0),"",I67/D67)</f>
        <v/>
      </c>
      <c r="K67" s="30">
        <f>IF(OR(F67="",I67="",I67=0),"",F67/I67)</f>
        <v/>
      </c>
      <c r="L67" s="27" t="n"/>
    </row>
    <row r="68" ht="22" customHeight="1">
      <c r="A68" s="22" t="n">
        <v>65</v>
      </c>
      <c r="B68" s="23" t="n"/>
      <c r="C68" s="24" t="n"/>
      <c r="D68" s="41" t="n"/>
      <c r="E68" s="25" t="n"/>
      <c r="F68" s="25">
        <f>IF(OR(D68="",E68=""),"",D68*E68)</f>
        <v/>
      </c>
      <c r="G68" s="22" t="n"/>
      <c r="H68" s="22" t="n"/>
      <c r="I68" s="24">
        <f>IF(OR(C68="",C67=""),"",C68-C67)</f>
        <v/>
      </c>
      <c r="J68" s="41">
        <f>IF(OR(I68="",D68="",D68=0,I68=0),"",I68/D68)</f>
        <v/>
      </c>
      <c r="K68" s="25">
        <f>IF(OR(F68="",I68="",I68=0),"",F68/I68)</f>
        <v/>
      </c>
      <c r="L68" s="22" t="n"/>
    </row>
    <row r="69" ht="22" customHeight="1">
      <c r="A69" s="27" t="n">
        <v>66</v>
      </c>
      <c r="B69" s="28" t="n"/>
      <c r="C69" s="29" t="n"/>
      <c r="D69" s="42" t="n"/>
      <c r="E69" s="30" t="n"/>
      <c r="F69" s="30">
        <f>IF(OR(D69="",E69=""),"",D69*E69)</f>
        <v/>
      </c>
      <c r="G69" s="27" t="n"/>
      <c r="H69" s="27" t="n"/>
      <c r="I69" s="29">
        <f>IF(OR(C69="",C68=""),"",C69-C68)</f>
        <v/>
      </c>
      <c r="J69" s="42">
        <f>IF(OR(I69="",D69="",D69=0,I69=0),"",I69/D69)</f>
        <v/>
      </c>
      <c r="K69" s="30">
        <f>IF(OR(F69="",I69="",I69=0),"",F69/I69)</f>
        <v/>
      </c>
      <c r="L69" s="27" t="n"/>
    </row>
    <row r="70" ht="22" customHeight="1">
      <c r="A70" s="22" t="n">
        <v>67</v>
      </c>
      <c r="B70" s="23" t="n"/>
      <c r="C70" s="24" t="n"/>
      <c r="D70" s="41" t="n"/>
      <c r="E70" s="25" t="n"/>
      <c r="F70" s="25">
        <f>IF(OR(D70="",E70=""),"",D70*E70)</f>
        <v/>
      </c>
      <c r="G70" s="22" t="n"/>
      <c r="H70" s="22" t="n"/>
      <c r="I70" s="24">
        <f>IF(OR(C70="",C69=""),"",C70-C69)</f>
        <v/>
      </c>
      <c r="J70" s="41">
        <f>IF(OR(I70="",D70="",D70=0,I70=0),"",I70/D70)</f>
        <v/>
      </c>
      <c r="K70" s="25">
        <f>IF(OR(F70="",I70="",I70=0),"",F70/I70)</f>
        <v/>
      </c>
      <c r="L70" s="22" t="n"/>
    </row>
    <row r="71" ht="22" customHeight="1">
      <c r="A71" s="27" t="n">
        <v>68</v>
      </c>
      <c r="B71" s="28" t="n"/>
      <c r="C71" s="29" t="n"/>
      <c r="D71" s="42" t="n"/>
      <c r="E71" s="30" t="n"/>
      <c r="F71" s="30">
        <f>IF(OR(D71="",E71=""),"",D71*E71)</f>
        <v/>
      </c>
      <c r="G71" s="27" t="n"/>
      <c r="H71" s="27" t="n"/>
      <c r="I71" s="29">
        <f>IF(OR(C71="",C70=""),"",C71-C70)</f>
        <v/>
      </c>
      <c r="J71" s="42">
        <f>IF(OR(I71="",D71="",D71=0,I71=0),"",I71/D71)</f>
        <v/>
      </c>
      <c r="K71" s="30">
        <f>IF(OR(F71="",I71="",I71=0),"",F71/I71)</f>
        <v/>
      </c>
      <c r="L71" s="27" t="n"/>
    </row>
    <row r="72" ht="22" customHeight="1">
      <c r="A72" s="22" t="n">
        <v>69</v>
      </c>
      <c r="B72" s="23" t="n"/>
      <c r="C72" s="24" t="n"/>
      <c r="D72" s="41" t="n"/>
      <c r="E72" s="25" t="n"/>
      <c r="F72" s="25">
        <f>IF(OR(D72="",E72=""),"",D72*E72)</f>
        <v/>
      </c>
      <c r="G72" s="22" t="n"/>
      <c r="H72" s="22" t="n"/>
      <c r="I72" s="24">
        <f>IF(OR(C72="",C71=""),"",C72-C71)</f>
        <v/>
      </c>
      <c r="J72" s="41">
        <f>IF(OR(I72="",D72="",D72=0,I72=0),"",I72/D72)</f>
        <v/>
      </c>
      <c r="K72" s="25">
        <f>IF(OR(F72="",I72="",I72=0),"",F72/I72)</f>
        <v/>
      </c>
      <c r="L72" s="22" t="n"/>
    </row>
    <row r="73" ht="22" customHeight="1">
      <c r="A73" s="27" t="n">
        <v>70</v>
      </c>
      <c r="B73" s="28" t="n"/>
      <c r="C73" s="29" t="n"/>
      <c r="D73" s="42" t="n"/>
      <c r="E73" s="30" t="n"/>
      <c r="F73" s="30">
        <f>IF(OR(D73="",E73=""),"",D73*E73)</f>
        <v/>
      </c>
      <c r="G73" s="27" t="n"/>
      <c r="H73" s="27" t="n"/>
      <c r="I73" s="29">
        <f>IF(OR(C73="",C72=""),"",C73-C72)</f>
        <v/>
      </c>
      <c r="J73" s="42">
        <f>IF(OR(I73="",D73="",D73=0,I73=0),"",I73/D73)</f>
        <v/>
      </c>
      <c r="K73" s="30">
        <f>IF(OR(F73="",I73="",I73=0),"",F73/I73)</f>
        <v/>
      </c>
      <c r="L73" s="27" t="n"/>
    </row>
    <row r="74" ht="22" customHeight="1">
      <c r="A74" s="22" t="n">
        <v>71</v>
      </c>
      <c r="B74" s="23" t="n"/>
      <c r="C74" s="24" t="n"/>
      <c r="D74" s="41" t="n"/>
      <c r="E74" s="25" t="n"/>
      <c r="F74" s="25">
        <f>IF(OR(D74="",E74=""),"",D74*E74)</f>
        <v/>
      </c>
      <c r="G74" s="22" t="n"/>
      <c r="H74" s="22" t="n"/>
      <c r="I74" s="24">
        <f>IF(OR(C74="",C73=""),"",C74-C73)</f>
        <v/>
      </c>
      <c r="J74" s="41">
        <f>IF(OR(I74="",D74="",D74=0,I74=0),"",I74/D74)</f>
        <v/>
      </c>
      <c r="K74" s="25">
        <f>IF(OR(F74="",I74="",I74=0),"",F74/I74)</f>
        <v/>
      </c>
      <c r="L74" s="22" t="n"/>
    </row>
    <row r="75" ht="22" customHeight="1">
      <c r="A75" s="27" t="n">
        <v>72</v>
      </c>
      <c r="B75" s="28" t="n"/>
      <c r="C75" s="29" t="n"/>
      <c r="D75" s="42" t="n"/>
      <c r="E75" s="30" t="n"/>
      <c r="F75" s="30">
        <f>IF(OR(D75="",E75=""),"",D75*E75)</f>
        <v/>
      </c>
      <c r="G75" s="27" t="n"/>
      <c r="H75" s="27" t="n"/>
      <c r="I75" s="29">
        <f>IF(OR(C75="",C74=""),"",C75-C74)</f>
        <v/>
      </c>
      <c r="J75" s="42">
        <f>IF(OR(I75="",D75="",D75=0,I75=0),"",I75/D75)</f>
        <v/>
      </c>
      <c r="K75" s="30">
        <f>IF(OR(F75="",I75="",I75=0),"",F75/I75)</f>
        <v/>
      </c>
      <c r="L75" s="27" t="n"/>
    </row>
    <row r="76" ht="22" customHeight="1">
      <c r="A76" s="22" t="n">
        <v>73</v>
      </c>
      <c r="B76" s="23" t="n"/>
      <c r="C76" s="24" t="n"/>
      <c r="D76" s="41" t="n"/>
      <c r="E76" s="25" t="n"/>
      <c r="F76" s="25">
        <f>IF(OR(D76="",E76=""),"",D76*E76)</f>
        <v/>
      </c>
      <c r="G76" s="22" t="n"/>
      <c r="H76" s="22" t="n"/>
      <c r="I76" s="24">
        <f>IF(OR(C76="",C75=""),"",C76-C75)</f>
        <v/>
      </c>
      <c r="J76" s="41">
        <f>IF(OR(I76="",D76="",D76=0,I76=0),"",I76/D76)</f>
        <v/>
      </c>
      <c r="K76" s="25">
        <f>IF(OR(F76="",I76="",I76=0),"",F76/I76)</f>
        <v/>
      </c>
      <c r="L76" s="22" t="n"/>
    </row>
    <row r="77" ht="22" customHeight="1">
      <c r="A77" s="27" t="n">
        <v>74</v>
      </c>
      <c r="B77" s="28" t="n"/>
      <c r="C77" s="29" t="n"/>
      <c r="D77" s="42" t="n"/>
      <c r="E77" s="30" t="n"/>
      <c r="F77" s="30">
        <f>IF(OR(D77="",E77=""),"",D77*E77)</f>
        <v/>
      </c>
      <c r="G77" s="27" t="n"/>
      <c r="H77" s="27" t="n"/>
      <c r="I77" s="29">
        <f>IF(OR(C77="",C76=""),"",C77-C76)</f>
        <v/>
      </c>
      <c r="J77" s="42">
        <f>IF(OR(I77="",D77="",D77=0,I77=0),"",I77/D77)</f>
        <v/>
      </c>
      <c r="K77" s="30">
        <f>IF(OR(F77="",I77="",I77=0),"",F77/I77)</f>
        <v/>
      </c>
      <c r="L77" s="27" t="n"/>
    </row>
    <row r="78" ht="22" customHeight="1">
      <c r="A78" s="22" t="n">
        <v>75</v>
      </c>
      <c r="B78" s="23" t="n"/>
      <c r="C78" s="24" t="n"/>
      <c r="D78" s="41" t="n"/>
      <c r="E78" s="25" t="n"/>
      <c r="F78" s="25">
        <f>IF(OR(D78="",E78=""),"",D78*E78)</f>
        <v/>
      </c>
      <c r="G78" s="22" t="n"/>
      <c r="H78" s="22" t="n"/>
      <c r="I78" s="24">
        <f>IF(OR(C78="",C77=""),"",C78-C77)</f>
        <v/>
      </c>
      <c r="J78" s="41">
        <f>IF(OR(I78="",D78="",D78=0,I78=0),"",I78/D78)</f>
        <v/>
      </c>
      <c r="K78" s="25">
        <f>IF(OR(F78="",I78="",I78=0),"",F78/I78)</f>
        <v/>
      </c>
      <c r="L78" s="22" t="n"/>
    </row>
    <row r="79" ht="22" customHeight="1">
      <c r="A79" s="27" t="n">
        <v>76</v>
      </c>
      <c r="B79" s="28" t="n"/>
      <c r="C79" s="29" t="n"/>
      <c r="D79" s="42" t="n"/>
      <c r="E79" s="30" t="n"/>
      <c r="F79" s="30">
        <f>IF(OR(D79="",E79=""),"",D79*E79)</f>
        <v/>
      </c>
      <c r="G79" s="27" t="n"/>
      <c r="H79" s="27" t="n"/>
      <c r="I79" s="29">
        <f>IF(OR(C79="",C78=""),"",C79-C78)</f>
        <v/>
      </c>
      <c r="J79" s="42">
        <f>IF(OR(I79="",D79="",D79=0,I79=0),"",I79/D79)</f>
        <v/>
      </c>
      <c r="K79" s="30">
        <f>IF(OR(F79="",I79="",I79=0),"",F79/I79)</f>
        <v/>
      </c>
      <c r="L79" s="27" t="n"/>
    </row>
    <row r="80" ht="22" customHeight="1">
      <c r="A80" s="22" t="n">
        <v>77</v>
      </c>
      <c r="B80" s="23" t="n"/>
      <c r="C80" s="24" t="n"/>
      <c r="D80" s="41" t="n"/>
      <c r="E80" s="25" t="n"/>
      <c r="F80" s="25">
        <f>IF(OR(D80="",E80=""),"",D80*E80)</f>
        <v/>
      </c>
      <c r="G80" s="22" t="n"/>
      <c r="H80" s="22" t="n"/>
      <c r="I80" s="24">
        <f>IF(OR(C80="",C79=""),"",C80-C79)</f>
        <v/>
      </c>
      <c r="J80" s="41">
        <f>IF(OR(I80="",D80="",D80=0,I80=0),"",I80/D80)</f>
        <v/>
      </c>
      <c r="K80" s="25">
        <f>IF(OR(F80="",I80="",I80=0),"",F80/I80)</f>
        <v/>
      </c>
      <c r="L80" s="22" t="n"/>
    </row>
    <row r="81" ht="22" customHeight="1">
      <c r="A81" s="27" t="n">
        <v>78</v>
      </c>
      <c r="B81" s="28" t="n"/>
      <c r="C81" s="29" t="n"/>
      <c r="D81" s="42" t="n"/>
      <c r="E81" s="30" t="n"/>
      <c r="F81" s="30">
        <f>IF(OR(D81="",E81=""),"",D81*E81)</f>
        <v/>
      </c>
      <c r="G81" s="27" t="n"/>
      <c r="H81" s="27" t="n"/>
      <c r="I81" s="29">
        <f>IF(OR(C81="",C80=""),"",C81-C80)</f>
        <v/>
      </c>
      <c r="J81" s="42">
        <f>IF(OR(I81="",D81="",D81=0,I81=0),"",I81/D81)</f>
        <v/>
      </c>
      <c r="K81" s="30">
        <f>IF(OR(F81="",I81="",I81=0),"",F81/I81)</f>
        <v/>
      </c>
      <c r="L81" s="27" t="n"/>
    </row>
    <row r="82" ht="22" customHeight="1">
      <c r="A82" s="22" t="n">
        <v>79</v>
      </c>
      <c r="B82" s="23" t="n"/>
      <c r="C82" s="24" t="n"/>
      <c r="D82" s="41" t="n"/>
      <c r="E82" s="25" t="n"/>
      <c r="F82" s="25">
        <f>IF(OR(D82="",E82=""),"",D82*E82)</f>
        <v/>
      </c>
      <c r="G82" s="22" t="n"/>
      <c r="H82" s="22" t="n"/>
      <c r="I82" s="24">
        <f>IF(OR(C82="",C81=""),"",C82-C81)</f>
        <v/>
      </c>
      <c r="J82" s="41">
        <f>IF(OR(I82="",D82="",D82=0,I82=0),"",I82/D82)</f>
        <v/>
      </c>
      <c r="K82" s="25">
        <f>IF(OR(F82="",I82="",I82=0),"",F82/I82)</f>
        <v/>
      </c>
      <c r="L82" s="22" t="n"/>
    </row>
    <row r="83" ht="22" customHeight="1">
      <c r="A83" s="27" t="n">
        <v>80</v>
      </c>
      <c r="B83" s="28" t="n"/>
      <c r="C83" s="29" t="n"/>
      <c r="D83" s="42" t="n"/>
      <c r="E83" s="30" t="n"/>
      <c r="F83" s="30">
        <f>IF(OR(D83="",E83=""),"",D83*E83)</f>
        <v/>
      </c>
      <c r="G83" s="27" t="n"/>
      <c r="H83" s="27" t="n"/>
      <c r="I83" s="29">
        <f>IF(OR(C83="",C82=""),"",C83-C82)</f>
        <v/>
      </c>
      <c r="J83" s="42">
        <f>IF(OR(I83="",D83="",D83=0,I83=0),"",I83/D83)</f>
        <v/>
      </c>
      <c r="K83" s="30">
        <f>IF(OR(F83="",I83="",I83=0),"",F83/I83)</f>
        <v/>
      </c>
      <c r="L83" s="27" t="n"/>
    </row>
    <row r="84" ht="22" customHeight="1">
      <c r="A84" s="22" t="n">
        <v>81</v>
      </c>
      <c r="B84" s="23" t="n"/>
      <c r="C84" s="24" t="n"/>
      <c r="D84" s="41" t="n"/>
      <c r="E84" s="25" t="n"/>
      <c r="F84" s="25">
        <f>IF(OR(D84="",E84=""),"",D84*E84)</f>
        <v/>
      </c>
      <c r="G84" s="22" t="n"/>
      <c r="H84" s="22" t="n"/>
      <c r="I84" s="24">
        <f>IF(OR(C84="",C83=""),"",C84-C83)</f>
        <v/>
      </c>
      <c r="J84" s="41">
        <f>IF(OR(I84="",D84="",D84=0,I84=0),"",I84/D84)</f>
        <v/>
      </c>
      <c r="K84" s="25">
        <f>IF(OR(F84="",I84="",I84=0),"",F84/I84)</f>
        <v/>
      </c>
      <c r="L84" s="22" t="n"/>
    </row>
    <row r="85" ht="22" customHeight="1">
      <c r="A85" s="27" t="n">
        <v>82</v>
      </c>
      <c r="B85" s="28" t="n"/>
      <c r="C85" s="29" t="n"/>
      <c r="D85" s="42" t="n"/>
      <c r="E85" s="30" t="n"/>
      <c r="F85" s="30">
        <f>IF(OR(D85="",E85=""),"",D85*E85)</f>
        <v/>
      </c>
      <c r="G85" s="27" t="n"/>
      <c r="H85" s="27" t="n"/>
      <c r="I85" s="29">
        <f>IF(OR(C85="",C84=""),"",C85-C84)</f>
        <v/>
      </c>
      <c r="J85" s="42">
        <f>IF(OR(I85="",D85="",D85=0,I85=0),"",I85/D85)</f>
        <v/>
      </c>
      <c r="K85" s="30">
        <f>IF(OR(F85="",I85="",I85=0),"",F85/I85)</f>
        <v/>
      </c>
      <c r="L85" s="27" t="n"/>
    </row>
    <row r="86" ht="22" customHeight="1">
      <c r="A86" s="22" t="n">
        <v>83</v>
      </c>
      <c r="B86" s="23" t="n"/>
      <c r="C86" s="24" t="n"/>
      <c r="D86" s="41" t="n"/>
      <c r="E86" s="25" t="n"/>
      <c r="F86" s="25">
        <f>IF(OR(D86="",E86=""),"",D86*E86)</f>
        <v/>
      </c>
      <c r="G86" s="22" t="n"/>
      <c r="H86" s="22" t="n"/>
      <c r="I86" s="24">
        <f>IF(OR(C86="",C85=""),"",C86-C85)</f>
        <v/>
      </c>
      <c r="J86" s="41">
        <f>IF(OR(I86="",D86="",D86=0,I86=0),"",I86/D86)</f>
        <v/>
      </c>
      <c r="K86" s="25">
        <f>IF(OR(F86="",I86="",I86=0),"",F86/I86)</f>
        <v/>
      </c>
      <c r="L86" s="22" t="n"/>
    </row>
    <row r="87" ht="22" customHeight="1">
      <c r="A87" s="27" t="n">
        <v>84</v>
      </c>
      <c r="B87" s="28" t="n"/>
      <c r="C87" s="29" t="n"/>
      <c r="D87" s="42" t="n"/>
      <c r="E87" s="30" t="n"/>
      <c r="F87" s="30">
        <f>IF(OR(D87="",E87=""),"",D87*E87)</f>
        <v/>
      </c>
      <c r="G87" s="27" t="n"/>
      <c r="H87" s="27" t="n"/>
      <c r="I87" s="29">
        <f>IF(OR(C87="",C86=""),"",C87-C86)</f>
        <v/>
      </c>
      <c r="J87" s="42">
        <f>IF(OR(I87="",D87="",D87=0,I87=0),"",I87/D87)</f>
        <v/>
      </c>
      <c r="K87" s="30">
        <f>IF(OR(F87="",I87="",I87=0),"",F87/I87)</f>
        <v/>
      </c>
      <c r="L87" s="27" t="n"/>
    </row>
    <row r="88" ht="22" customHeight="1">
      <c r="A88" s="22" t="n">
        <v>85</v>
      </c>
      <c r="B88" s="23" t="n"/>
      <c r="C88" s="24" t="n"/>
      <c r="D88" s="41" t="n"/>
      <c r="E88" s="25" t="n"/>
      <c r="F88" s="25">
        <f>IF(OR(D88="",E88=""),"",D88*E88)</f>
        <v/>
      </c>
      <c r="G88" s="22" t="n"/>
      <c r="H88" s="22" t="n"/>
      <c r="I88" s="24">
        <f>IF(OR(C88="",C87=""),"",C88-C87)</f>
        <v/>
      </c>
      <c r="J88" s="41">
        <f>IF(OR(I88="",D88="",D88=0,I88=0),"",I88/D88)</f>
        <v/>
      </c>
      <c r="K88" s="25">
        <f>IF(OR(F88="",I88="",I88=0),"",F88/I88)</f>
        <v/>
      </c>
      <c r="L88" s="22" t="n"/>
    </row>
    <row r="89" ht="22" customHeight="1">
      <c r="A89" s="27" t="n">
        <v>86</v>
      </c>
      <c r="B89" s="28" t="n"/>
      <c r="C89" s="29" t="n"/>
      <c r="D89" s="42" t="n"/>
      <c r="E89" s="30" t="n"/>
      <c r="F89" s="30">
        <f>IF(OR(D89="",E89=""),"",D89*E89)</f>
        <v/>
      </c>
      <c r="G89" s="27" t="n"/>
      <c r="H89" s="27" t="n"/>
      <c r="I89" s="29">
        <f>IF(OR(C89="",C88=""),"",C89-C88)</f>
        <v/>
      </c>
      <c r="J89" s="42">
        <f>IF(OR(I89="",D89="",D89=0,I89=0),"",I89/D89)</f>
        <v/>
      </c>
      <c r="K89" s="30">
        <f>IF(OR(F89="",I89="",I89=0),"",F89/I89)</f>
        <v/>
      </c>
      <c r="L89" s="27" t="n"/>
    </row>
    <row r="90" ht="22" customHeight="1">
      <c r="A90" s="22" t="n">
        <v>87</v>
      </c>
      <c r="B90" s="23" t="n"/>
      <c r="C90" s="24" t="n"/>
      <c r="D90" s="41" t="n"/>
      <c r="E90" s="25" t="n"/>
      <c r="F90" s="25">
        <f>IF(OR(D90="",E90=""),"",D90*E90)</f>
        <v/>
      </c>
      <c r="G90" s="22" t="n"/>
      <c r="H90" s="22" t="n"/>
      <c r="I90" s="24">
        <f>IF(OR(C90="",C89=""),"",C90-C89)</f>
        <v/>
      </c>
      <c r="J90" s="41">
        <f>IF(OR(I90="",D90="",D90=0,I90=0),"",I90/D90)</f>
        <v/>
      </c>
      <c r="K90" s="25">
        <f>IF(OR(F90="",I90="",I90=0),"",F90/I90)</f>
        <v/>
      </c>
      <c r="L90" s="22" t="n"/>
    </row>
    <row r="91" ht="22" customHeight="1">
      <c r="A91" s="27" t="n">
        <v>88</v>
      </c>
      <c r="B91" s="28" t="n"/>
      <c r="C91" s="29" t="n"/>
      <c r="D91" s="42" t="n"/>
      <c r="E91" s="30" t="n"/>
      <c r="F91" s="30">
        <f>IF(OR(D91="",E91=""),"",D91*E91)</f>
        <v/>
      </c>
      <c r="G91" s="27" t="n"/>
      <c r="H91" s="27" t="n"/>
      <c r="I91" s="29">
        <f>IF(OR(C91="",C90=""),"",C91-C90)</f>
        <v/>
      </c>
      <c r="J91" s="42">
        <f>IF(OR(I91="",D91="",D91=0,I91=0),"",I91/D91)</f>
        <v/>
      </c>
      <c r="K91" s="30">
        <f>IF(OR(F91="",I91="",I91=0),"",F91/I91)</f>
        <v/>
      </c>
      <c r="L91" s="27" t="n"/>
    </row>
    <row r="92" ht="22" customHeight="1">
      <c r="A92" s="22" t="n">
        <v>89</v>
      </c>
      <c r="B92" s="23" t="n"/>
      <c r="C92" s="24" t="n"/>
      <c r="D92" s="41" t="n"/>
      <c r="E92" s="25" t="n"/>
      <c r="F92" s="25">
        <f>IF(OR(D92="",E92=""),"",D92*E92)</f>
        <v/>
      </c>
      <c r="G92" s="22" t="n"/>
      <c r="H92" s="22" t="n"/>
      <c r="I92" s="24">
        <f>IF(OR(C92="",C91=""),"",C92-C91)</f>
        <v/>
      </c>
      <c r="J92" s="41">
        <f>IF(OR(I92="",D92="",D92=0,I92=0),"",I92/D92)</f>
        <v/>
      </c>
      <c r="K92" s="25">
        <f>IF(OR(F92="",I92="",I92=0),"",F92/I92)</f>
        <v/>
      </c>
      <c r="L92" s="22" t="n"/>
    </row>
    <row r="93" ht="22" customHeight="1">
      <c r="A93" s="27" t="n">
        <v>90</v>
      </c>
      <c r="B93" s="28" t="n"/>
      <c r="C93" s="29" t="n"/>
      <c r="D93" s="42" t="n"/>
      <c r="E93" s="30" t="n"/>
      <c r="F93" s="30">
        <f>IF(OR(D93="",E93=""),"",D93*E93)</f>
        <v/>
      </c>
      <c r="G93" s="27" t="n"/>
      <c r="H93" s="27" t="n"/>
      <c r="I93" s="29">
        <f>IF(OR(C93="",C92=""),"",C93-C92)</f>
        <v/>
      </c>
      <c r="J93" s="42">
        <f>IF(OR(I93="",D93="",D93=0,I93=0),"",I93/D93)</f>
        <v/>
      </c>
      <c r="K93" s="30">
        <f>IF(OR(F93="",I93="",I93=0),"",F93/I93)</f>
        <v/>
      </c>
      <c r="L93" s="27" t="n"/>
    </row>
    <row r="94" ht="22" customHeight="1">
      <c r="A94" s="22" t="n">
        <v>91</v>
      </c>
      <c r="B94" s="23" t="n"/>
      <c r="C94" s="24" t="n"/>
      <c r="D94" s="41" t="n"/>
      <c r="E94" s="25" t="n"/>
      <c r="F94" s="25">
        <f>IF(OR(D94="",E94=""),"",D94*E94)</f>
        <v/>
      </c>
      <c r="G94" s="22" t="n"/>
      <c r="H94" s="22" t="n"/>
      <c r="I94" s="24">
        <f>IF(OR(C94="",C93=""),"",C94-C93)</f>
        <v/>
      </c>
      <c r="J94" s="41">
        <f>IF(OR(I94="",D94="",D94=0,I94=0),"",I94/D94)</f>
        <v/>
      </c>
      <c r="K94" s="25">
        <f>IF(OR(F94="",I94="",I94=0),"",F94/I94)</f>
        <v/>
      </c>
      <c r="L94" s="22" t="n"/>
    </row>
    <row r="95" ht="22" customHeight="1">
      <c r="A95" s="27" t="n">
        <v>92</v>
      </c>
      <c r="B95" s="28" t="n"/>
      <c r="C95" s="29" t="n"/>
      <c r="D95" s="42" t="n"/>
      <c r="E95" s="30" t="n"/>
      <c r="F95" s="30">
        <f>IF(OR(D95="",E95=""),"",D95*E95)</f>
        <v/>
      </c>
      <c r="G95" s="27" t="n"/>
      <c r="H95" s="27" t="n"/>
      <c r="I95" s="29">
        <f>IF(OR(C95="",C94=""),"",C95-C94)</f>
        <v/>
      </c>
      <c r="J95" s="42">
        <f>IF(OR(I95="",D95="",D95=0,I95=0),"",I95/D95)</f>
        <v/>
      </c>
      <c r="K95" s="30">
        <f>IF(OR(F95="",I95="",I95=0),"",F95/I95)</f>
        <v/>
      </c>
      <c r="L95" s="27" t="n"/>
    </row>
    <row r="96" ht="22" customHeight="1">
      <c r="A96" s="22" t="n">
        <v>93</v>
      </c>
      <c r="B96" s="23" t="n"/>
      <c r="C96" s="24" t="n"/>
      <c r="D96" s="41" t="n"/>
      <c r="E96" s="25" t="n"/>
      <c r="F96" s="25">
        <f>IF(OR(D96="",E96=""),"",D96*E96)</f>
        <v/>
      </c>
      <c r="G96" s="22" t="n"/>
      <c r="H96" s="22" t="n"/>
      <c r="I96" s="24">
        <f>IF(OR(C96="",C95=""),"",C96-C95)</f>
        <v/>
      </c>
      <c r="J96" s="41">
        <f>IF(OR(I96="",D96="",D96=0,I96=0),"",I96/D96)</f>
        <v/>
      </c>
      <c r="K96" s="25">
        <f>IF(OR(F96="",I96="",I96=0),"",F96/I96)</f>
        <v/>
      </c>
      <c r="L96" s="22" t="n"/>
    </row>
    <row r="97" ht="22" customHeight="1">
      <c r="A97" s="27" t="n">
        <v>94</v>
      </c>
      <c r="B97" s="28" t="n"/>
      <c r="C97" s="29" t="n"/>
      <c r="D97" s="42" t="n"/>
      <c r="E97" s="30" t="n"/>
      <c r="F97" s="30">
        <f>IF(OR(D97="",E97=""),"",D97*E97)</f>
        <v/>
      </c>
      <c r="G97" s="27" t="n"/>
      <c r="H97" s="27" t="n"/>
      <c r="I97" s="29">
        <f>IF(OR(C97="",C96=""),"",C97-C96)</f>
        <v/>
      </c>
      <c r="J97" s="42">
        <f>IF(OR(I97="",D97="",D97=0,I97=0),"",I97/D97)</f>
        <v/>
      </c>
      <c r="K97" s="30">
        <f>IF(OR(F97="",I97="",I97=0),"",F97/I97)</f>
        <v/>
      </c>
      <c r="L97" s="27" t="n"/>
    </row>
    <row r="98" ht="22" customHeight="1">
      <c r="A98" s="22" t="n">
        <v>95</v>
      </c>
      <c r="B98" s="23" t="n"/>
      <c r="C98" s="24" t="n"/>
      <c r="D98" s="41" t="n"/>
      <c r="E98" s="25" t="n"/>
      <c r="F98" s="25">
        <f>IF(OR(D98="",E98=""),"",D98*E98)</f>
        <v/>
      </c>
      <c r="G98" s="22" t="n"/>
      <c r="H98" s="22" t="n"/>
      <c r="I98" s="24">
        <f>IF(OR(C98="",C97=""),"",C98-C97)</f>
        <v/>
      </c>
      <c r="J98" s="41">
        <f>IF(OR(I98="",D98="",D98=0,I98=0),"",I98/D98)</f>
        <v/>
      </c>
      <c r="K98" s="25">
        <f>IF(OR(F98="",I98="",I98=0),"",F98/I98)</f>
        <v/>
      </c>
      <c r="L98" s="22" t="n"/>
    </row>
    <row r="99" ht="22" customHeight="1">
      <c r="A99" s="27" t="n">
        <v>96</v>
      </c>
      <c r="B99" s="28" t="n"/>
      <c r="C99" s="29" t="n"/>
      <c r="D99" s="42" t="n"/>
      <c r="E99" s="30" t="n"/>
      <c r="F99" s="30">
        <f>IF(OR(D99="",E99=""),"",D99*E99)</f>
        <v/>
      </c>
      <c r="G99" s="27" t="n"/>
      <c r="H99" s="27" t="n"/>
      <c r="I99" s="29">
        <f>IF(OR(C99="",C98=""),"",C99-C98)</f>
        <v/>
      </c>
      <c r="J99" s="42">
        <f>IF(OR(I99="",D99="",D99=0,I99=0),"",I99/D99)</f>
        <v/>
      </c>
      <c r="K99" s="30">
        <f>IF(OR(F99="",I99="",I99=0),"",F99/I99)</f>
        <v/>
      </c>
      <c r="L99" s="27" t="n"/>
    </row>
    <row r="100" ht="22" customHeight="1">
      <c r="A100" s="22" t="n">
        <v>97</v>
      </c>
      <c r="B100" s="23" t="n"/>
      <c r="C100" s="24" t="n"/>
      <c r="D100" s="41" t="n"/>
      <c r="E100" s="25" t="n"/>
      <c r="F100" s="25">
        <f>IF(OR(D100="",E100=""),"",D100*E100)</f>
        <v/>
      </c>
      <c r="G100" s="22" t="n"/>
      <c r="H100" s="22" t="n"/>
      <c r="I100" s="24">
        <f>IF(OR(C100="",C99=""),"",C100-C99)</f>
        <v/>
      </c>
      <c r="J100" s="41">
        <f>IF(OR(I100="",D100="",D100=0,I100=0),"",I100/D100)</f>
        <v/>
      </c>
      <c r="K100" s="25">
        <f>IF(OR(F100="",I100="",I100=0),"",F100/I100)</f>
        <v/>
      </c>
      <c r="L100" s="22" t="n"/>
    </row>
    <row r="101" ht="22" customHeight="1">
      <c r="A101" s="27" t="n">
        <v>98</v>
      </c>
      <c r="B101" s="28" t="n"/>
      <c r="C101" s="29" t="n"/>
      <c r="D101" s="42" t="n"/>
      <c r="E101" s="30" t="n"/>
      <c r="F101" s="30">
        <f>IF(OR(D101="",E101=""),"",D101*E101)</f>
        <v/>
      </c>
      <c r="G101" s="27" t="n"/>
      <c r="H101" s="27" t="n"/>
      <c r="I101" s="29">
        <f>IF(OR(C101="",C100=""),"",C101-C100)</f>
        <v/>
      </c>
      <c r="J101" s="42">
        <f>IF(OR(I101="",D101="",D101=0,I101=0),"",I101/D101)</f>
        <v/>
      </c>
      <c r="K101" s="30">
        <f>IF(OR(F101="",I101="",I101=0),"",F101/I101)</f>
        <v/>
      </c>
      <c r="L101" s="27" t="n"/>
    </row>
    <row r="102" ht="22" customHeight="1">
      <c r="A102" s="22" t="n">
        <v>99</v>
      </c>
      <c r="B102" s="23" t="n"/>
      <c r="C102" s="24" t="n"/>
      <c r="D102" s="41" t="n"/>
      <c r="E102" s="25" t="n"/>
      <c r="F102" s="25">
        <f>IF(OR(D102="",E102=""),"",D102*E102)</f>
        <v/>
      </c>
      <c r="G102" s="22" t="n"/>
      <c r="H102" s="22" t="n"/>
      <c r="I102" s="24">
        <f>IF(OR(C102="",C101=""),"",C102-C101)</f>
        <v/>
      </c>
      <c r="J102" s="41">
        <f>IF(OR(I102="",D102="",D102=0,I102=0),"",I102/D102)</f>
        <v/>
      </c>
      <c r="K102" s="25">
        <f>IF(OR(F102="",I102="",I102=0),"",F102/I102)</f>
        <v/>
      </c>
      <c r="L102" s="22" t="n"/>
    </row>
    <row r="103" ht="22" customHeight="1">
      <c r="A103" s="27" t="n">
        <v>100</v>
      </c>
      <c r="B103" s="28" t="n"/>
      <c r="C103" s="29" t="n"/>
      <c r="D103" s="42" t="n"/>
      <c r="E103" s="30" t="n"/>
      <c r="F103" s="30">
        <f>IF(OR(D103="",E103=""),"",D103*E103)</f>
        <v/>
      </c>
      <c r="G103" s="27" t="n"/>
      <c r="H103" s="27" t="n"/>
      <c r="I103" s="29">
        <f>IF(OR(C103="",C102=""),"",C103-C102)</f>
        <v/>
      </c>
      <c r="J103" s="42">
        <f>IF(OR(I103="",D103="",D103=0,I103=0),"",I103/D103)</f>
        <v/>
      </c>
      <c r="K103" s="30">
        <f>IF(OR(F103="",I103="",I103=0),"",F103/I103)</f>
        <v/>
      </c>
      <c r="L103" s="27" t="n"/>
    </row>
    <row r="104" ht="22" customHeight="1">
      <c r="A104" s="22" t="n">
        <v>101</v>
      </c>
      <c r="B104" s="23" t="n"/>
      <c r="C104" s="24" t="n"/>
      <c r="D104" s="41" t="n"/>
      <c r="E104" s="25" t="n"/>
      <c r="F104" s="25">
        <f>IF(OR(D104="",E104=""),"",D104*E104)</f>
        <v/>
      </c>
      <c r="G104" s="22" t="n"/>
      <c r="H104" s="22" t="n"/>
      <c r="I104" s="24">
        <f>IF(OR(C104="",C103=""),"",C104-C103)</f>
        <v/>
      </c>
      <c r="J104" s="41">
        <f>IF(OR(I104="",D104="",D104=0,I104=0),"",I104/D104)</f>
        <v/>
      </c>
      <c r="K104" s="25">
        <f>IF(OR(F104="",I104="",I104=0),"",F104/I104)</f>
        <v/>
      </c>
      <c r="L104" s="22" t="n"/>
    </row>
    <row r="105" ht="22" customHeight="1">
      <c r="A105" s="27" t="n">
        <v>102</v>
      </c>
      <c r="B105" s="28" t="n"/>
      <c r="C105" s="29" t="n"/>
      <c r="D105" s="42" t="n"/>
      <c r="E105" s="30" t="n"/>
      <c r="F105" s="30">
        <f>IF(OR(D105="",E105=""),"",D105*E105)</f>
        <v/>
      </c>
      <c r="G105" s="27" t="n"/>
      <c r="H105" s="27" t="n"/>
      <c r="I105" s="29">
        <f>IF(OR(C105="",C104=""),"",C105-C104)</f>
        <v/>
      </c>
      <c r="J105" s="42">
        <f>IF(OR(I105="",D105="",D105=0,I105=0),"",I105/D105)</f>
        <v/>
      </c>
      <c r="K105" s="30">
        <f>IF(OR(F105="",I105="",I105=0),"",F105/I105)</f>
        <v/>
      </c>
      <c r="L105" s="27" t="n"/>
    </row>
    <row r="106" ht="22" customHeight="1">
      <c r="A106" s="22" t="n">
        <v>103</v>
      </c>
      <c r="B106" s="23" t="n"/>
      <c r="C106" s="24" t="n"/>
      <c r="D106" s="41" t="n"/>
      <c r="E106" s="25" t="n"/>
      <c r="F106" s="25">
        <f>IF(OR(D106="",E106=""),"",D106*E106)</f>
        <v/>
      </c>
      <c r="G106" s="22" t="n"/>
      <c r="H106" s="22" t="n"/>
      <c r="I106" s="24">
        <f>IF(OR(C106="",C105=""),"",C106-C105)</f>
        <v/>
      </c>
      <c r="J106" s="41">
        <f>IF(OR(I106="",D106="",D106=0,I106=0),"",I106/D106)</f>
        <v/>
      </c>
      <c r="K106" s="25">
        <f>IF(OR(F106="",I106="",I106=0),"",F106/I106)</f>
        <v/>
      </c>
      <c r="L106" s="22" t="n"/>
    </row>
    <row r="107" ht="22" customHeight="1">
      <c r="A107" s="27" t="n">
        <v>104</v>
      </c>
      <c r="B107" s="28" t="n"/>
      <c r="C107" s="29" t="n"/>
      <c r="D107" s="42" t="n"/>
      <c r="E107" s="30" t="n"/>
      <c r="F107" s="30">
        <f>IF(OR(D107="",E107=""),"",D107*E107)</f>
        <v/>
      </c>
      <c r="G107" s="27" t="n"/>
      <c r="H107" s="27" t="n"/>
      <c r="I107" s="29">
        <f>IF(OR(C107="",C106=""),"",C107-C106)</f>
        <v/>
      </c>
      <c r="J107" s="42">
        <f>IF(OR(I107="",D107="",D107=0,I107=0),"",I107/D107)</f>
        <v/>
      </c>
      <c r="K107" s="30">
        <f>IF(OR(F107="",I107="",I107=0),"",F107/I107)</f>
        <v/>
      </c>
      <c r="L107" s="27" t="n"/>
    </row>
    <row r="108" ht="22" customHeight="1">
      <c r="A108" s="22" t="n">
        <v>105</v>
      </c>
      <c r="B108" s="23" t="n"/>
      <c r="C108" s="24" t="n"/>
      <c r="D108" s="41" t="n"/>
      <c r="E108" s="25" t="n"/>
      <c r="F108" s="25">
        <f>IF(OR(D108="",E108=""),"",D108*E108)</f>
        <v/>
      </c>
      <c r="G108" s="22" t="n"/>
      <c r="H108" s="22" t="n"/>
      <c r="I108" s="24">
        <f>IF(OR(C108="",C107=""),"",C108-C107)</f>
        <v/>
      </c>
      <c r="J108" s="41">
        <f>IF(OR(I108="",D108="",D108=0,I108=0),"",I108/D108)</f>
        <v/>
      </c>
      <c r="K108" s="25">
        <f>IF(OR(F108="",I108="",I108=0),"",F108/I108)</f>
        <v/>
      </c>
      <c r="L108" s="22" t="n"/>
    </row>
    <row r="109" ht="22" customHeight="1">
      <c r="A109" s="27" t="n">
        <v>106</v>
      </c>
      <c r="B109" s="28" t="n"/>
      <c r="C109" s="29" t="n"/>
      <c r="D109" s="42" t="n"/>
      <c r="E109" s="30" t="n"/>
      <c r="F109" s="30">
        <f>IF(OR(D109="",E109=""),"",D109*E109)</f>
        <v/>
      </c>
      <c r="G109" s="27" t="n"/>
      <c r="H109" s="27" t="n"/>
      <c r="I109" s="29">
        <f>IF(OR(C109="",C108=""),"",C109-C108)</f>
        <v/>
      </c>
      <c r="J109" s="42">
        <f>IF(OR(I109="",D109="",D109=0,I109=0),"",I109/D109)</f>
        <v/>
      </c>
      <c r="K109" s="30">
        <f>IF(OR(F109="",I109="",I109=0),"",F109/I109)</f>
        <v/>
      </c>
      <c r="L109" s="27" t="n"/>
    </row>
    <row r="110" ht="22" customHeight="1">
      <c r="A110" s="22" t="n">
        <v>107</v>
      </c>
      <c r="B110" s="23" t="n"/>
      <c r="C110" s="24" t="n"/>
      <c r="D110" s="41" t="n"/>
      <c r="E110" s="25" t="n"/>
      <c r="F110" s="25">
        <f>IF(OR(D110="",E110=""),"",D110*E110)</f>
        <v/>
      </c>
      <c r="G110" s="22" t="n"/>
      <c r="H110" s="22" t="n"/>
      <c r="I110" s="24">
        <f>IF(OR(C110="",C109=""),"",C110-C109)</f>
        <v/>
      </c>
      <c r="J110" s="41">
        <f>IF(OR(I110="",D110="",D110=0,I110=0),"",I110/D110)</f>
        <v/>
      </c>
      <c r="K110" s="25">
        <f>IF(OR(F110="",I110="",I110=0),"",F110/I110)</f>
        <v/>
      </c>
      <c r="L110" s="22" t="n"/>
    </row>
    <row r="111" ht="22" customHeight="1">
      <c r="A111" s="27" t="n">
        <v>108</v>
      </c>
      <c r="B111" s="28" t="n"/>
      <c r="C111" s="29" t="n"/>
      <c r="D111" s="42" t="n"/>
      <c r="E111" s="30" t="n"/>
      <c r="F111" s="30">
        <f>IF(OR(D111="",E111=""),"",D111*E111)</f>
        <v/>
      </c>
      <c r="G111" s="27" t="n"/>
      <c r="H111" s="27" t="n"/>
      <c r="I111" s="29">
        <f>IF(OR(C111="",C110=""),"",C111-C110)</f>
        <v/>
      </c>
      <c r="J111" s="42">
        <f>IF(OR(I111="",D111="",D111=0,I111=0),"",I111/D111)</f>
        <v/>
      </c>
      <c r="K111" s="30">
        <f>IF(OR(F111="",I111="",I111=0),"",F111/I111)</f>
        <v/>
      </c>
      <c r="L111" s="27" t="n"/>
    </row>
    <row r="112" ht="22" customHeight="1">
      <c r="A112" s="22" t="n">
        <v>109</v>
      </c>
      <c r="B112" s="23" t="n"/>
      <c r="C112" s="24" t="n"/>
      <c r="D112" s="41" t="n"/>
      <c r="E112" s="25" t="n"/>
      <c r="F112" s="25">
        <f>IF(OR(D112="",E112=""),"",D112*E112)</f>
        <v/>
      </c>
      <c r="G112" s="22" t="n"/>
      <c r="H112" s="22" t="n"/>
      <c r="I112" s="24">
        <f>IF(OR(C112="",C111=""),"",C112-C111)</f>
        <v/>
      </c>
      <c r="J112" s="41">
        <f>IF(OR(I112="",D112="",D112=0,I112=0),"",I112/D112)</f>
        <v/>
      </c>
      <c r="K112" s="25">
        <f>IF(OR(F112="",I112="",I112=0),"",F112/I112)</f>
        <v/>
      </c>
      <c r="L112" s="22" t="n"/>
    </row>
    <row r="113" ht="22" customHeight="1">
      <c r="A113" s="27" t="n">
        <v>110</v>
      </c>
      <c r="B113" s="28" t="n"/>
      <c r="C113" s="29" t="n"/>
      <c r="D113" s="42" t="n"/>
      <c r="E113" s="30" t="n"/>
      <c r="F113" s="30">
        <f>IF(OR(D113="",E113=""),"",D113*E113)</f>
        <v/>
      </c>
      <c r="G113" s="27" t="n"/>
      <c r="H113" s="27" t="n"/>
      <c r="I113" s="29">
        <f>IF(OR(C113="",C112=""),"",C113-C112)</f>
        <v/>
      </c>
      <c r="J113" s="42">
        <f>IF(OR(I113="",D113="",D113=0,I113=0),"",I113/D113)</f>
        <v/>
      </c>
      <c r="K113" s="30">
        <f>IF(OR(F113="",I113="",I113=0),"",F113/I113)</f>
        <v/>
      </c>
      <c r="L113" s="27" t="n"/>
    </row>
    <row r="114" ht="22" customHeight="1">
      <c r="A114" s="22" t="n">
        <v>111</v>
      </c>
      <c r="B114" s="23" t="n"/>
      <c r="C114" s="24" t="n"/>
      <c r="D114" s="41" t="n"/>
      <c r="E114" s="25" t="n"/>
      <c r="F114" s="25">
        <f>IF(OR(D114="",E114=""),"",D114*E114)</f>
        <v/>
      </c>
      <c r="G114" s="22" t="n"/>
      <c r="H114" s="22" t="n"/>
      <c r="I114" s="24">
        <f>IF(OR(C114="",C113=""),"",C114-C113)</f>
        <v/>
      </c>
      <c r="J114" s="41">
        <f>IF(OR(I114="",D114="",D114=0,I114=0),"",I114/D114)</f>
        <v/>
      </c>
      <c r="K114" s="25">
        <f>IF(OR(F114="",I114="",I114=0),"",F114/I114)</f>
        <v/>
      </c>
      <c r="L114" s="22" t="n"/>
    </row>
    <row r="115" ht="22" customHeight="1">
      <c r="A115" s="27" t="n">
        <v>112</v>
      </c>
      <c r="B115" s="28" t="n"/>
      <c r="C115" s="29" t="n"/>
      <c r="D115" s="42" t="n"/>
      <c r="E115" s="30" t="n"/>
      <c r="F115" s="30">
        <f>IF(OR(D115="",E115=""),"",D115*E115)</f>
        <v/>
      </c>
      <c r="G115" s="27" t="n"/>
      <c r="H115" s="27" t="n"/>
      <c r="I115" s="29">
        <f>IF(OR(C115="",C114=""),"",C115-C114)</f>
        <v/>
      </c>
      <c r="J115" s="42">
        <f>IF(OR(I115="",D115="",D115=0,I115=0),"",I115/D115)</f>
        <v/>
      </c>
      <c r="K115" s="30">
        <f>IF(OR(F115="",I115="",I115=0),"",F115/I115)</f>
        <v/>
      </c>
      <c r="L115" s="27" t="n"/>
    </row>
    <row r="116" ht="22" customHeight="1">
      <c r="A116" s="22" t="n">
        <v>113</v>
      </c>
      <c r="B116" s="23" t="n"/>
      <c r="C116" s="24" t="n"/>
      <c r="D116" s="41" t="n"/>
      <c r="E116" s="25" t="n"/>
      <c r="F116" s="25">
        <f>IF(OR(D116="",E116=""),"",D116*E116)</f>
        <v/>
      </c>
      <c r="G116" s="22" t="n"/>
      <c r="H116" s="22" t="n"/>
      <c r="I116" s="24">
        <f>IF(OR(C116="",C115=""),"",C116-C115)</f>
        <v/>
      </c>
      <c r="J116" s="41">
        <f>IF(OR(I116="",D116="",D116=0,I116=0),"",I116/D116)</f>
        <v/>
      </c>
      <c r="K116" s="25">
        <f>IF(OR(F116="",I116="",I116=0),"",F116/I116)</f>
        <v/>
      </c>
      <c r="L116" s="22" t="n"/>
    </row>
    <row r="117" ht="22" customHeight="1">
      <c r="A117" s="27" t="n">
        <v>114</v>
      </c>
      <c r="B117" s="28" t="n"/>
      <c r="C117" s="29" t="n"/>
      <c r="D117" s="42" t="n"/>
      <c r="E117" s="30" t="n"/>
      <c r="F117" s="30">
        <f>IF(OR(D117="",E117=""),"",D117*E117)</f>
        <v/>
      </c>
      <c r="G117" s="27" t="n"/>
      <c r="H117" s="27" t="n"/>
      <c r="I117" s="29">
        <f>IF(OR(C117="",C116=""),"",C117-C116)</f>
        <v/>
      </c>
      <c r="J117" s="42">
        <f>IF(OR(I117="",D117="",D117=0,I117=0),"",I117/D117)</f>
        <v/>
      </c>
      <c r="K117" s="30">
        <f>IF(OR(F117="",I117="",I117=0),"",F117/I117)</f>
        <v/>
      </c>
      <c r="L117" s="27" t="n"/>
    </row>
    <row r="118" ht="22" customHeight="1">
      <c r="A118" s="22" t="n">
        <v>115</v>
      </c>
      <c r="B118" s="23" t="n"/>
      <c r="C118" s="24" t="n"/>
      <c r="D118" s="41" t="n"/>
      <c r="E118" s="25" t="n"/>
      <c r="F118" s="25">
        <f>IF(OR(D118="",E118=""),"",D118*E118)</f>
        <v/>
      </c>
      <c r="G118" s="22" t="n"/>
      <c r="H118" s="22" t="n"/>
      <c r="I118" s="24">
        <f>IF(OR(C118="",C117=""),"",C118-C117)</f>
        <v/>
      </c>
      <c r="J118" s="41">
        <f>IF(OR(I118="",D118="",D118=0,I118=0),"",I118/D118)</f>
        <v/>
      </c>
      <c r="K118" s="25">
        <f>IF(OR(F118="",I118="",I118=0),"",F118/I118)</f>
        <v/>
      </c>
      <c r="L118" s="22" t="n"/>
    </row>
    <row r="119" ht="22" customHeight="1">
      <c r="A119" s="27" t="n">
        <v>116</v>
      </c>
      <c r="B119" s="28" t="n"/>
      <c r="C119" s="29" t="n"/>
      <c r="D119" s="42" t="n"/>
      <c r="E119" s="30" t="n"/>
      <c r="F119" s="30">
        <f>IF(OR(D119="",E119=""),"",D119*E119)</f>
        <v/>
      </c>
      <c r="G119" s="27" t="n"/>
      <c r="H119" s="27" t="n"/>
      <c r="I119" s="29">
        <f>IF(OR(C119="",C118=""),"",C119-C118)</f>
        <v/>
      </c>
      <c r="J119" s="42">
        <f>IF(OR(I119="",D119="",D119=0,I119=0),"",I119/D119)</f>
        <v/>
      </c>
      <c r="K119" s="30">
        <f>IF(OR(F119="",I119="",I119=0),"",F119/I119)</f>
        <v/>
      </c>
      <c r="L119" s="27" t="n"/>
    </row>
    <row r="120" ht="22" customHeight="1">
      <c r="A120" s="22" t="n">
        <v>117</v>
      </c>
      <c r="B120" s="23" t="n"/>
      <c r="C120" s="24" t="n"/>
      <c r="D120" s="41" t="n"/>
      <c r="E120" s="25" t="n"/>
      <c r="F120" s="25">
        <f>IF(OR(D120="",E120=""),"",D120*E120)</f>
        <v/>
      </c>
      <c r="G120" s="22" t="n"/>
      <c r="H120" s="22" t="n"/>
      <c r="I120" s="24">
        <f>IF(OR(C120="",C119=""),"",C120-C119)</f>
        <v/>
      </c>
      <c r="J120" s="41">
        <f>IF(OR(I120="",D120="",D120=0,I120=0),"",I120/D120)</f>
        <v/>
      </c>
      <c r="K120" s="25">
        <f>IF(OR(F120="",I120="",I120=0),"",F120/I120)</f>
        <v/>
      </c>
      <c r="L120" s="22" t="n"/>
    </row>
    <row r="121" ht="22" customHeight="1">
      <c r="A121" s="27" t="n">
        <v>118</v>
      </c>
      <c r="B121" s="28" t="n"/>
      <c r="C121" s="29" t="n"/>
      <c r="D121" s="42" t="n"/>
      <c r="E121" s="30" t="n"/>
      <c r="F121" s="30">
        <f>IF(OR(D121="",E121=""),"",D121*E121)</f>
        <v/>
      </c>
      <c r="G121" s="27" t="n"/>
      <c r="H121" s="27" t="n"/>
      <c r="I121" s="29">
        <f>IF(OR(C121="",C120=""),"",C121-C120)</f>
        <v/>
      </c>
      <c r="J121" s="42">
        <f>IF(OR(I121="",D121="",D121=0,I121=0),"",I121/D121)</f>
        <v/>
      </c>
      <c r="K121" s="30">
        <f>IF(OR(F121="",I121="",I121=0),"",F121/I121)</f>
        <v/>
      </c>
      <c r="L121" s="27" t="n"/>
    </row>
    <row r="122" ht="22" customHeight="1">
      <c r="A122" s="22" t="n">
        <v>119</v>
      </c>
      <c r="B122" s="23" t="n"/>
      <c r="C122" s="24" t="n"/>
      <c r="D122" s="41" t="n"/>
      <c r="E122" s="25" t="n"/>
      <c r="F122" s="25">
        <f>IF(OR(D122="",E122=""),"",D122*E122)</f>
        <v/>
      </c>
      <c r="G122" s="22" t="n"/>
      <c r="H122" s="22" t="n"/>
      <c r="I122" s="24">
        <f>IF(OR(C122="",C121=""),"",C122-C121)</f>
        <v/>
      </c>
      <c r="J122" s="41">
        <f>IF(OR(I122="",D122="",D122=0,I122=0),"",I122/D122)</f>
        <v/>
      </c>
      <c r="K122" s="25">
        <f>IF(OR(F122="",I122="",I122=0),"",F122/I122)</f>
        <v/>
      </c>
      <c r="L122" s="22" t="n"/>
    </row>
    <row r="123" ht="22" customHeight="1">
      <c r="A123" s="27" t="n">
        <v>120</v>
      </c>
      <c r="B123" s="28" t="n"/>
      <c r="C123" s="29" t="n"/>
      <c r="D123" s="42" t="n"/>
      <c r="E123" s="30" t="n"/>
      <c r="F123" s="30">
        <f>IF(OR(D123="",E123=""),"",D123*E123)</f>
        <v/>
      </c>
      <c r="G123" s="27" t="n"/>
      <c r="H123" s="27" t="n"/>
      <c r="I123" s="29">
        <f>IF(OR(C123="",C122=""),"",C123-C122)</f>
        <v/>
      </c>
      <c r="J123" s="42">
        <f>IF(OR(I123="",D123="",D123=0,I123=0),"",I123/D123)</f>
        <v/>
      </c>
      <c r="K123" s="30">
        <f>IF(OR(F123="",I123="",I123=0),"",F123/I123)</f>
        <v/>
      </c>
      <c r="L123" s="27" t="n"/>
    </row>
    <row r="124" ht="22" customHeight="1">
      <c r="A124" s="22" t="n">
        <v>121</v>
      </c>
      <c r="B124" s="23" t="n"/>
      <c r="C124" s="24" t="n"/>
      <c r="D124" s="41" t="n"/>
      <c r="E124" s="25" t="n"/>
      <c r="F124" s="25">
        <f>IF(OR(D124="",E124=""),"",D124*E124)</f>
        <v/>
      </c>
      <c r="G124" s="22" t="n"/>
      <c r="H124" s="22" t="n"/>
      <c r="I124" s="24">
        <f>IF(OR(C124="",C123=""),"",C124-C123)</f>
        <v/>
      </c>
      <c r="J124" s="41">
        <f>IF(OR(I124="",D124="",D124=0,I124=0),"",I124/D124)</f>
        <v/>
      </c>
      <c r="K124" s="25">
        <f>IF(OR(F124="",I124="",I124=0),"",F124/I124)</f>
        <v/>
      </c>
      <c r="L124" s="22" t="n"/>
    </row>
    <row r="125" ht="22" customHeight="1">
      <c r="A125" s="27" t="n">
        <v>122</v>
      </c>
      <c r="B125" s="28" t="n"/>
      <c r="C125" s="29" t="n"/>
      <c r="D125" s="42" t="n"/>
      <c r="E125" s="30" t="n"/>
      <c r="F125" s="30">
        <f>IF(OR(D125="",E125=""),"",D125*E125)</f>
        <v/>
      </c>
      <c r="G125" s="27" t="n"/>
      <c r="H125" s="27" t="n"/>
      <c r="I125" s="29">
        <f>IF(OR(C125="",C124=""),"",C125-C124)</f>
        <v/>
      </c>
      <c r="J125" s="42">
        <f>IF(OR(I125="",D125="",D125=0,I125=0),"",I125/D125)</f>
        <v/>
      </c>
      <c r="K125" s="30">
        <f>IF(OR(F125="",I125="",I125=0),"",F125/I125)</f>
        <v/>
      </c>
      <c r="L125" s="27" t="n"/>
    </row>
    <row r="126" ht="22" customHeight="1">
      <c r="A126" s="22" t="n">
        <v>123</v>
      </c>
      <c r="B126" s="23" t="n"/>
      <c r="C126" s="24" t="n"/>
      <c r="D126" s="41" t="n"/>
      <c r="E126" s="25" t="n"/>
      <c r="F126" s="25">
        <f>IF(OR(D126="",E126=""),"",D126*E126)</f>
        <v/>
      </c>
      <c r="G126" s="22" t="n"/>
      <c r="H126" s="22" t="n"/>
      <c r="I126" s="24">
        <f>IF(OR(C126="",C125=""),"",C126-C125)</f>
        <v/>
      </c>
      <c r="J126" s="41">
        <f>IF(OR(I126="",D126="",D126=0,I126=0),"",I126/D126)</f>
        <v/>
      </c>
      <c r="K126" s="25">
        <f>IF(OR(F126="",I126="",I126=0),"",F126/I126)</f>
        <v/>
      </c>
      <c r="L126" s="22" t="n"/>
    </row>
    <row r="127" ht="22" customHeight="1">
      <c r="A127" s="27" t="n">
        <v>124</v>
      </c>
      <c r="B127" s="28" t="n"/>
      <c r="C127" s="29" t="n"/>
      <c r="D127" s="42" t="n"/>
      <c r="E127" s="30" t="n"/>
      <c r="F127" s="30">
        <f>IF(OR(D127="",E127=""),"",D127*E127)</f>
        <v/>
      </c>
      <c r="G127" s="27" t="n"/>
      <c r="H127" s="27" t="n"/>
      <c r="I127" s="29">
        <f>IF(OR(C127="",C126=""),"",C127-C126)</f>
        <v/>
      </c>
      <c r="J127" s="42">
        <f>IF(OR(I127="",D127="",D127=0,I127=0),"",I127/D127)</f>
        <v/>
      </c>
      <c r="K127" s="30">
        <f>IF(OR(F127="",I127="",I127=0),"",F127/I127)</f>
        <v/>
      </c>
      <c r="L127" s="27" t="n"/>
    </row>
    <row r="128" ht="22" customHeight="1">
      <c r="A128" s="22" t="n">
        <v>125</v>
      </c>
      <c r="B128" s="23" t="n"/>
      <c r="C128" s="24" t="n"/>
      <c r="D128" s="41" t="n"/>
      <c r="E128" s="25" t="n"/>
      <c r="F128" s="25">
        <f>IF(OR(D128="",E128=""),"",D128*E128)</f>
        <v/>
      </c>
      <c r="G128" s="22" t="n"/>
      <c r="H128" s="22" t="n"/>
      <c r="I128" s="24">
        <f>IF(OR(C128="",C127=""),"",C128-C127)</f>
        <v/>
      </c>
      <c r="J128" s="41">
        <f>IF(OR(I128="",D128="",D128=0,I128=0),"",I128/D128)</f>
        <v/>
      </c>
      <c r="K128" s="25">
        <f>IF(OR(F128="",I128="",I128=0),"",F128/I128)</f>
        <v/>
      </c>
      <c r="L128" s="22" t="n"/>
    </row>
    <row r="129" ht="22" customHeight="1">
      <c r="A129" s="27" t="n">
        <v>126</v>
      </c>
      <c r="B129" s="28" t="n"/>
      <c r="C129" s="29" t="n"/>
      <c r="D129" s="42" t="n"/>
      <c r="E129" s="30" t="n"/>
      <c r="F129" s="30">
        <f>IF(OR(D129="",E129=""),"",D129*E129)</f>
        <v/>
      </c>
      <c r="G129" s="27" t="n"/>
      <c r="H129" s="27" t="n"/>
      <c r="I129" s="29">
        <f>IF(OR(C129="",C128=""),"",C129-C128)</f>
        <v/>
      </c>
      <c r="J129" s="42">
        <f>IF(OR(I129="",D129="",D129=0,I129=0),"",I129/D129)</f>
        <v/>
      </c>
      <c r="K129" s="30">
        <f>IF(OR(F129="",I129="",I129=0),"",F129/I129)</f>
        <v/>
      </c>
      <c r="L129" s="27" t="n"/>
    </row>
    <row r="130" ht="22" customHeight="1">
      <c r="A130" s="22" t="n">
        <v>127</v>
      </c>
      <c r="B130" s="23" t="n"/>
      <c r="C130" s="24" t="n"/>
      <c r="D130" s="41" t="n"/>
      <c r="E130" s="25" t="n"/>
      <c r="F130" s="25">
        <f>IF(OR(D130="",E130=""),"",D130*E130)</f>
        <v/>
      </c>
      <c r="G130" s="22" t="n"/>
      <c r="H130" s="22" t="n"/>
      <c r="I130" s="24">
        <f>IF(OR(C130="",C129=""),"",C130-C129)</f>
        <v/>
      </c>
      <c r="J130" s="41">
        <f>IF(OR(I130="",D130="",D130=0,I130=0),"",I130/D130)</f>
        <v/>
      </c>
      <c r="K130" s="25">
        <f>IF(OR(F130="",I130="",I130=0),"",F130/I130)</f>
        <v/>
      </c>
      <c r="L130" s="22" t="n"/>
    </row>
    <row r="131" ht="22" customHeight="1">
      <c r="A131" s="27" t="n">
        <v>128</v>
      </c>
      <c r="B131" s="28" t="n"/>
      <c r="C131" s="29" t="n"/>
      <c r="D131" s="42" t="n"/>
      <c r="E131" s="30" t="n"/>
      <c r="F131" s="30">
        <f>IF(OR(D131="",E131=""),"",D131*E131)</f>
        <v/>
      </c>
      <c r="G131" s="27" t="n"/>
      <c r="H131" s="27" t="n"/>
      <c r="I131" s="29">
        <f>IF(OR(C131="",C130=""),"",C131-C130)</f>
        <v/>
      </c>
      <c r="J131" s="42">
        <f>IF(OR(I131="",D131="",D131=0,I131=0),"",I131/D131)</f>
        <v/>
      </c>
      <c r="K131" s="30">
        <f>IF(OR(F131="",I131="",I131=0),"",F131/I131)</f>
        <v/>
      </c>
      <c r="L131" s="27" t="n"/>
    </row>
    <row r="132" ht="22" customHeight="1">
      <c r="A132" s="22" t="n">
        <v>129</v>
      </c>
      <c r="B132" s="23" t="n"/>
      <c r="C132" s="24" t="n"/>
      <c r="D132" s="41" t="n"/>
      <c r="E132" s="25" t="n"/>
      <c r="F132" s="25">
        <f>IF(OR(D132="",E132=""),"",D132*E132)</f>
        <v/>
      </c>
      <c r="G132" s="22" t="n"/>
      <c r="H132" s="22" t="n"/>
      <c r="I132" s="24">
        <f>IF(OR(C132="",C131=""),"",C132-C131)</f>
        <v/>
      </c>
      <c r="J132" s="41">
        <f>IF(OR(I132="",D132="",D132=0,I132=0),"",I132/D132)</f>
        <v/>
      </c>
      <c r="K132" s="25">
        <f>IF(OR(F132="",I132="",I132=0),"",F132/I132)</f>
        <v/>
      </c>
      <c r="L132" s="22" t="n"/>
    </row>
    <row r="133" ht="22" customHeight="1">
      <c r="A133" s="27" t="n">
        <v>130</v>
      </c>
      <c r="B133" s="28" t="n"/>
      <c r="C133" s="29" t="n"/>
      <c r="D133" s="42" t="n"/>
      <c r="E133" s="30" t="n"/>
      <c r="F133" s="30">
        <f>IF(OR(D133="",E133=""),"",D133*E133)</f>
        <v/>
      </c>
      <c r="G133" s="27" t="n"/>
      <c r="H133" s="27" t="n"/>
      <c r="I133" s="29">
        <f>IF(OR(C133="",C132=""),"",C133-C132)</f>
        <v/>
      </c>
      <c r="J133" s="42">
        <f>IF(OR(I133="",D133="",D133=0,I133=0),"",I133/D133)</f>
        <v/>
      </c>
      <c r="K133" s="30">
        <f>IF(OR(F133="",I133="",I133=0),"",F133/I133)</f>
        <v/>
      </c>
      <c r="L133" s="27" t="n"/>
    </row>
    <row r="134" ht="22" customHeight="1">
      <c r="A134" s="22" t="n">
        <v>131</v>
      </c>
      <c r="B134" s="23" t="n"/>
      <c r="C134" s="24" t="n"/>
      <c r="D134" s="41" t="n"/>
      <c r="E134" s="25" t="n"/>
      <c r="F134" s="25">
        <f>IF(OR(D134="",E134=""),"",D134*E134)</f>
        <v/>
      </c>
      <c r="G134" s="22" t="n"/>
      <c r="H134" s="22" t="n"/>
      <c r="I134" s="24">
        <f>IF(OR(C134="",C133=""),"",C134-C133)</f>
        <v/>
      </c>
      <c r="J134" s="41">
        <f>IF(OR(I134="",D134="",D134=0,I134=0),"",I134/D134)</f>
        <v/>
      </c>
      <c r="K134" s="25">
        <f>IF(OR(F134="",I134="",I134=0),"",F134/I134)</f>
        <v/>
      </c>
      <c r="L134" s="22" t="n"/>
    </row>
    <row r="135" ht="22" customHeight="1">
      <c r="A135" s="27" t="n">
        <v>132</v>
      </c>
      <c r="B135" s="28" t="n"/>
      <c r="C135" s="29" t="n"/>
      <c r="D135" s="42" t="n"/>
      <c r="E135" s="30" t="n"/>
      <c r="F135" s="30">
        <f>IF(OR(D135="",E135=""),"",D135*E135)</f>
        <v/>
      </c>
      <c r="G135" s="27" t="n"/>
      <c r="H135" s="27" t="n"/>
      <c r="I135" s="29">
        <f>IF(OR(C135="",C134=""),"",C135-C134)</f>
        <v/>
      </c>
      <c r="J135" s="42">
        <f>IF(OR(I135="",D135="",D135=0,I135=0),"",I135/D135)</f>
        <v/>
      </c>
      <c r="K135" s="30">
        <f>IF(OR(F135="",I135="",I135=0),"",F135/I135)</f>
        <v/>
      </c>
      <c r="L135" s="27" t="n"/>
    </row>
    <row r="136" ht="22" customHeight="1">
      <c r="A136" s="22" t="n">
        <v>133</v>
      </c>
      <c r="B136" s="23" t="n"/>
      <c r="C136" s="24" t="n"/>
      <c r="D136" s="41" t="n"/>
      <c r="E136" s="25" t="n"/>
      <c r="F136" s="25">
        <f>IF(OR(D136="",E136=""),"",D136*E136)</f>
        <v/>
      </c>
      <c r="G136" s="22" t="n"/>
      <c r="H136" s="22" t="n"/>
      <c r="I136" s="24">
        <f>IF(OR(C136="",C135=""),"",C136-C135)</f>
        <v/>
      </c>
      <c r="J136" s="41">
        <f>IF(OR(I136="",D136="",D136=0,I136=0),"",I136/D136)</f>
        <v/>
      </c>
      <c r="K136" s="25">
        <f>IF(OR(F136="",I136="",I136=0),"",F136/I136)</f>
        <v/>
      </c>
      <c r="L136" s="22" t="n"/>
    </row>
    <row r="137" ht="22" customHeight="1">
      <c r="A137" s="27" t="n">
        <v>134</v>
      </c>
      <c r="B137" s="28" t="n"/>
      <c r="C137" s="29" t="n"/>
      <c r="D137" s="42" t="n"/>
      <c r="E137" s="30" t="n"/>
      <c r="F137" s="30">
        <f>IF(OR(D137="",E137=""),"",D137*E137)</f>
        <v/>
      </c>
      <c r="G137" s="27" t="n"/>
      <c r="H137" s="27" t="n"/>
      <c r="I137" s="29">
        <f>IF(OR(C137="",C136=""),"",C137-C136)</f>
        <v/>
      </c>
      <c r="J137" s="42">
        <f>IF(OR(I137="",D137="",D137=0,I137=0),"",I137/D137)</f>
        <v/>
      </c>
      <c r="K137" s="30">
        <f>IF(OR(F137="",I137="",I137=0),"",F137/I137)</f>
        <v/>
      </c>
      <c r="L137" s="27" t="n"/>
    </row>
    <row r="138" ht="22" customHeight="1">
      <c r="A138" s="22" t="n">
        <v>135</v>
      </c>
      <c r="B138" s="23" t="n"/>
      <c r="C138" s="24" t="n"/>
      <c r="D138" s="41" t="n"/>
      <c r="E138" s="25" t="n"/>
      <c r="F138" s="25">
        <f>IF(OR(D138="",E138=""),"",D138*E138)</f>
        <v/>
      </c>
      <c r="G138" s="22" t="n"/>
      <c r="H138" s="22" t="n"/>
      <c r="I138" s="24">
        <f>IF(OR(C138="",C137=""),"",C138-C137)</f>
        <v/>
      </c>
      <c r="J138" s="41">
        <f>IF(OR(I138="",D138="",D138=0,I138=0),"",I138/D138)</f>
        <v/>
      </c>
      <c r="K138" s="25">
        <f>IF(OR(F138="",I138="",I138=0),"",F138/I138)</f>
        <v/>
      </c>
      <c r="L138" s="22" t="n"/>
    </row>
    <row r="139" ht="22" customHeight="1">
      <c r="A139" s="27" t="n">
        <v>136</v>
      </c>
      <c r="B139" s="28" t="n"/>
      <c r="C139" s="29" t="n"/>
      <c r="D139" s="42" t="n"/>
      <c r="E139" s="30" t="n"/>
      <c r="F139" s="30">
        <f>IF(OR(D139="",E139=""),"",D139*E139)</f>
        <v/>
      </c>
      <c r="G139" s="27" t="n"/>
      <c r="H139" s="27" t="n"/>
      <c r="I139" s="29">
        <f>IF(OR(C139="",C138=""),"",C139-C138)</f>
        <v/>
      </c>
      <c r="J139" s="42">
        <f>IF(OR(I139="",D139="",D139=0,I139=0),"",I139/D139)</f>
        <v/>
      </c>
      <c r="K139" s="30">
        <f>IF(OR(F139="",I139="",I139=0),"",F139/I139)</f>
        <v/>
      </c>
      <c r="L139" s="27" t="n"/>
    </row>
    <row r="140" ht="22" customHeight="1">
      <c r="A140" s="22" t="n">
        <v>137</v>
      </c>
      <c r="B140" s="23" t="n"/>
      <c r="C140" s="24" t="n"/>
      <c r="D140" s="41" t="n"/>
      <c r="E140" s="25" t="n"/>
      <c r="F140" s="25">
        <f>IF(OR(D140="",E140=""),"",D140*E140)</f>
        <v/>
      </c>
      <c r="G140" s="22" t="n"/>
      <c r="H140" s="22" t="n"/>
      <c r="I140" s="24">
        <f>IF(OR(C140="",C139=""),"",C140-C139)</f>
        <v/>
      </c>
      <c r="J140" s="41">
        <f>IF(OR(I140="",D140="",D140=0,I140=0),"",I140/D140)</f>
        <v/>
      </c>
      <c r="K140" s="25">
        <f>IF(OR(F140="",I140="",I140=0),"",F140/I140)</f>
        <v/>
      </c>
      <c r="L140" s="22" t="n"/>
    </row>
    <row r="141" ht="22" customHeight="1">
      <c r="A141" s="27" t="n">
        <v>138</v>
      </c>
      <c r="B141" s="28" t="n"/>
      <c r="C141" s="29" t="n"/>
      <c r="D141" s="42" t="n"/>
      <c r="E141" s="30" t="n"/>
      <c r="F141" s="30">
        <f>IF(OR(D141="",E141=""),"",D141*E141)</f>
        <v/>
      </c>
      <c r="G141" s="27" t="n"/>
      <c r="H141" s="27" t="n"/>
      <c r="I141" s="29">
        <f>IF(OR(C141="",C140=""),"",C141-C140)</f>
        <v/>
      </c>
      <c r="J141" s="42">
        <f>IF(OR(I141="",D141="",D141=0,I141=0),"",I141/D141)</f>
        <v/>
      </c>
      <c r="K141" s="30">
        <f>IF(OR(F141="",I141="",I141=0),"",F141/I141)</f>
        <v/>
      </c>
      <c r="L141" s="27" t="n"/>
    </row>
    <row r="142" ht="22" customHeight="1">
      <c r="A142" s="22" t="n">
        <v>139</v>
      </c>
      <c r="B142" s="23" t="n"/>
      <c r="C142" s="24" t="n"/>
      <c r="D142" s="41" t="n"/>
      <c r="E142" s="25" t="n"/>
      <c r="F142" s="25">
        <f>IF(OR(D142="",E142=""),"",D142*E142)</f>
        <v/>
      </c>
      <c r="G142" s="22" t="n"/>
      <c r="H142" s="22" t="n"/>
      <c r="I142" s="24">
        <f>IF(OR(C142="",C141=""),"",C142-C141)</f>
        <v/>
      </c>
      <c r="J142" s="41">
        <f>IF(OR(I142="",D142="",D142=0,I142=0),"",I142/D142)</f>
        <v/>
      </c>
      <c r="K142" s="25">
        <f>IF(OR(F142="",I142="",I142=0),"",F142/I142)</f>
        <v/>
      </c>
      <c r="L142" s="22" t="n"/>
    </row>
    <row r="143" ht="22" customHeight="1">
      <c r="A143" s="27" t="n">
        <v>140</v>
      </c>
      <c r="B143" s="28" t="n"/>
      <c r="C143" s="29" t="n"/>
      <c r="D143" s="42" t="n"/>
      <c r="E143" s="30" t="n"/>
      <c r="F143" s="30">
        <f>IF(OR(D143="",E143=""),"",D143*E143)</f>
        <v/>
      </c>
      <c r="G143" s="27" t="n"/>
      <c r="H143" s="27" t="n"/>
      <c r="I143" s="29">
        <f>IF(OR(C143="",C142=""),"",C143-C142)</f>
        <v/>
      </c>
      <c r="J143" s="42">
        <f>IF(OR(I143="",D143="",D143=0,I143=0),"",I143/D143)</f>
        <v/>
      </c>
      <c r="K143" s="30">
        <f>IF(OR(F143="",I143="",I143=0),"",F143/I143)</f>
        <v/>
      </c>
      <c r="L143" s="27" t="n"/>
    </row>
    <row r="144" ht="22" customHeight="1">
      <c r="A144" s="22" t="n">
        <v>141</v>
      </c>
      <c r="B144" s="23" t="n"/>
      <c r="C144" s="24" t="n"/>
      <c r="D144" s="41" t="n"/>
      <c r="E144" s="25" t="n"/>
      <c r="F144" s="25">
        <f>IF(OR(D144="",E144=""),"",D144*E144)</f>
        <v/>
      </c>
      <c r="G144" s="22" t="n"/>
      <c r="H144" s="22" t="n"/>
      <c r="I144" s="24">
        <f>IF(OR(C144="",C143=""),"",C144-C143)</f>
        <v/>
      </c>
      <c r="J144" s="41">
        <f>IF(OR(I144="",D144="",D144=0,I144=0),"",I144/D144)</f>
        <v/>
      </c>
      <c r="K144" s="25">
        <f>IF(OR(F144="",I144="",I144=0),"",F144/I144)</f>
        <v/>
      </c>
      <c r="L144" s="22" t="n"/>
    </row>
    <row r="145" ht="22" customHeight="1">
      <c r="A145" s="27" t="n">
        <v>142</v>
      </c>
      <c r="B145" s="28" t="n"/>
      <c r="C145" s="29" t="n"/>
      <c r="D145" s="42" t="n"/>
      <c r="E145" s="30" t="n"/>
      <c r="F145" s="30">
        <f>IF(OR(D145="",E145=""),"",D145*E145)</f>
        <v/>
      </c>
      <c r="G145" s="27" t="n"/>
      <c r="H145" s="27" t="n"/>
      <c r="I145" s="29">
        <f>IF(OR(C145="",C144=""),"",C145-C144)</f>
        <v/>
      </c>
      <c r="J145" s="42">
        <f>IF(OR(I145="",D145="",D145=0,I145=0),"",I145/D145)</f>
        <v/>
      </c>
      <c r="K145" s="30">
        <f>IF(OR(F145="",I145="",I145=0),"",F145/I145)</f>
        <v/>
      </c>
      <c r="L145" s="27" t="n"/>
    </row>
    <row r="146" ht="22" customHeight="1">
      <c r="A146" s="22" t="n">
        <v>143</v>
      </c>
      <c r="B146" s="23" t="n"/>
      <c r="C146" s="24" t="n"/>
      <c r="D146" s="41" t="n"/>
      <c r="E146" s="25" t="n"/>
      <c r="F146" s="25">
        <f>IF(OR(D146="",E146=""),"",D146*E146)</f>
        <v/>
      </c>
      <c r="G146" s="22" t="n"/>
      <c r="H146" s="22" t="n"/>
      <c r="I146" s="24">
        <f>IF(OR(C146="",C145=""),"",C146-C145)</f>
        <v/>
      </c>
      <c r="J146" s="41">
        <f>IF(OR(I146="",D146="",D146=0,I146=0),"",I146/D146)</f>
        <v/>
      </c>
      <c r="K146" s="25">
        <f>IF(OR(F146="",I146="",I146=0),"",F146/I146)</f>
        <v/>
      </c>
      <c r="L146" s="22" t="n"/>
    </row>
    <row r="147" ht="22" customHeight="1">
      <c r="A147" s="27" t="n">
        <v>144</v>
      </c>
      <c r="B147" s="28" t="n"/>
      <c r="C147" s="29" t="n"/>
      <c r="D147" s="42" t="n"/>
      <c r="E147" s="30" t="n"/>
      <c r="F147" s="30">
        <f>IF(OR(D147="",E147=""),"",D147*E147)</f>
        <v/>
      </c>
      <c r="G147" s="27" t="n"/>
      <c r="H147" s="27" t="n"/>
      <c r="I147" s="29">
        <f>IF(OR(C147="",C146=""),"",C147-C146)</f>
        <v/>
      </c>
      <c r="J147" s="42">
        <f>IF(OR(I147="",D147="",D147=0,I147=0),"",I147/D147)</f>
        <v/>
      </c>
      <c r="K147" s="30">
        <f>IF(OR(F147="",I147="",I147=0),"",F147/I147)</f>
        <v/>
      </c>
      <c r="L147" s="27" t="n"/>
    </row>
    <row r="148" ht="22" customHeight="1">
      <c r="A148" s="22" t="n">
        <v>145</v>
      </c>
      <c r="B148" s="23" t="n"/>
      <c r="C148" s="24" t="n"/>
      <c r="D148" s="41" t="n"/>
      <c r="E148" s="25" t="n"/>
      <c r="F148" s="25">
        <f>IF(OR(D148="",E148=""),"",D148*E148)</f>
        <v/>
      </c>
      <c r="G148" s="22" t="n"/>
      <c r="H148" s="22" t="n"/>
      <c r="I148" s="24">
        <f>IF(OR(C148="",C147=""),"",C148-C147)</f>
        <v/>
      </c>
      <c r="J148" s="41">
        <f>IF(OR(I148="",D148="",D148=0,I148=0),"",I148/D148)</f>
        <v/>
      </c>
      <c r="K148" s="25">
        <f>IF(OR(F148="",I148="",I148=0),"",F148/I148)</f>
        <v/>
      </c>
      <c r="L148" s="22" t="n"/>
    </row>
    <row r="149" ht="22" customHeight="1">
      <c r="A149" s="27" t="n">
        <v>146</v>
      </c>
      <c r="B149" s="28" t="n"/>
      <c r="C149" s="29" t="n"/>
      <c r="D149" s="42" t="n"/>
      <c r="E149" s="30" t="n"/>
      <c r="F149" s="30">
        <f>IF(OR(D149="",E149=""),"",D149*E149)</f>
        <v/>
      </c>
      <c r="G149" s="27" t="n"/>
      <c r="H149" s="27" t="n"/>
      <c r="I149" s="29">
        <f>IF(OR(C149="",C148=""),"",C149-C148)</f>
        <v/>
      </c>
      <c r="J149" s="42">
        <f>IF(OR(I149="",D149="",D149=0,I149=0),"",I149/D149)</f>
        <v/>
      </c>
      <c r="K149" s="30">
        <f>IF(OR(F149="",I149="",I149=0),"",F149/I149)</f>
        <v/>
      </c>
      <c r="L149" s="27" t="n"/>
    </row>
    <row r="150" ht="22" customHeight="1">
      <c r="A150" s="22" t="n">
        <v>147</v>
      </c>
      <c r="B150" s="23" t="n"/>
      <c r="C150" s="24" t="n"/>
      <c r="D150" s="41" t="n"/>
      <c r="E150" s="25" t="n"/>
      <c r="F150" s="25">
        <f>IF(OR(D150="",E150=""),"",D150*E150)</f>
        <v/>
      </c>
      <c r="G150" s="22" t="n"/>
      <c r="H150" s="22" t="n"/>
      <c r="I150" s="24">
        <f>IF(OR(C150="",C149=""),"",C150-C149)</f>
        <v/>
      </c>
      <c r="J150" s="41">
        <f>IF(OR(I150="",D150="",D150=0,I150=0),"",I150/D150)</f>
        <v/>
      </c>
      <c r="K150" s="25">
        <f>IF(OR(F150="",I150="",I150=0),"",F150/I150)</f>
        <v/>
      </c>
      <c r="L150" s="22" t="n"/>
    </row>
    <row r="151" ht="22" customHeight="1">
      <c r="A151" s="27" t="n">
        <v>148</v>
      </c>
      <c r="B151" s="28" t="n"/>
      <c r="C151" s="29" t="n"/>
      <c r="D151" s="42" t="n"/>
      <c r="E151" s="30" t="n"/>
      <c r="F151" s="30">
        <f>IF(OR(D151="",E151=""),"",D151*E151)</f>
        <v/>
      </c>
      <c r="G151" s="27" t="n"/>
      <c r="H151" s="27" t="n"/>
      <c r="I151" s="29">
        <f>IF(OR(C151="",C150=""),"",C151-C150)</f>
        <v/>
      </c>
      <c r="J151" s="42">
        <f>IF(OR(I151="",D151="",D151=0,I151=0),"",I151/D151)</f>
        <v/>
      </c>
      <c r="K151" s="30">
        <f>IF(OR(F151="",I151="",I151=0),"",F151/I151)</f>
        <v/>
      </c>
      <c r="L151" s="27" t="n"/>
    </row>
    <row r="152" ht="22" customHeight="1">
      <c r="A152" s="22" t="n">
        <v>149</v>
      </c>
      <c r="B152" s="23" t="n"/>
      <c r="C152" s="24" t="n"/>
      <c r="D152" s="41" t="n"/>
      <c r="E152" s="25" t="n"/>
      <c r="F152" s="25">
        <f>IF(OR(D152="",E152=""),"",D152*E152)</f>
        <v/>
      </c>
      <c r="G152" s="22" t="n"/>
      <c r="H152" s="22" t="n"/>
      <c r="I152" s="24">
        <f>IF(OR(C152="",C151=""),"",C152-C151)</f>
        <v/>
      </c>
      <c r="J152" s="41">
        <f>IF(OR(I152="",D152="",D152=0,I152=0),"",I152/D152)</f>
        <v/>
      </c>
      <c r="K152" s="25">
        <f>IF(OR(F152="",I152="",I152=0),"",F152/I152)</f>
        <v/>
      </c>
      <c r="L152" s="22" t="n"/>
    </row>
    <row r="153" ht="22" customHeight="1">
      <c r="A153" s="27" t="n">
        <v>150</v>
      </c>
      <c r="B153" s="28" t="n"/>
      <c r="C153" s="29" t="n"/>
      <c r="D153" s="42" t="n"/>
      <c r="E153" s="30" t="n"/>
      <c r="F153" s="30">
        <f>IF(OR(D153="",E153=""),"",D153*E153)</f>
        <v/>
      </c>
      <c r="G153" s="27" t="n"/>
      <c r="H153" s="27" t="n"/>
      <c r="I153" s="29">
        <f>IF(OR(C153="",C152=""),"",C153-C152)</f>
        <v/>
      </c>
      <c r="J153" s="42">
        <f>IF(OR(I153="",D153="",D153=0,I153=0),"",I153/D153)</f>
        <v/>
      </c>
      <c r="K153" s="30">
        <f>IF(OR(F153="",I153="",I153=0),"",F153/I153)</f>
        <v/>
      </c>
      <c r="L153" s="27" t="n"/>
    </row>
    <row r="154">
      <c r="A154" s="32" t="inlineStr">
        <is>
          <t>TOTAIS</t>
        </is>
      </c>
      <c r="B154" s="33" t="n"/>
      <c r="C154" s="33" t="n"/>
      <c r="D154" s="43">
        <f>SUM(D4:D153)</f>
        <v/>
      </c>
      <c r="E154" s="33" t="n"/>
      <c r="F154" s="34">
        <f>SUM(F4:F153)</f>
        <v/>
      </c>
      <c r="G154" s="33" t="n"/>
      <c r="H154" s="33" t="n"/>
      <c r="I154" s="33" t="n"/>
      <c r="J154" s="33" t="n"/>
      <c r="K154" s="33" t="n"/>
      <c r="L154" s="33" t="n"/>
    </row>
    <row r="155">
      <c r="A155" s="44" t="inlineStr">
        <is>
          <t>MÉDIA DE CONSUMO</t>
        </is>
      </c>
      <c r="B155" s="45" t="n"/>
      <c r="C155" s="45" t="n"/>
      <c r="D155" s="45" t="n"/>
      <c r="E155" s="45" t="n"/>
      <c r="J155" s="46">
        <f>IF(COUNTA(J4:J153)=0,"",AVERAGE(J4:J153))</f>
        <v/>
      </c>
    </row>
  </sheetData>
  <autoFilter ref="A3:L153"/>
  <mergeCells count="4">
    <mergeCell ref="A2:L2"/>
    <mergeCell ref="A155:E155"/>
    <mergeCell ref="A1:L1"/>
    <mergeCell ref="A154:C154"/>
  </mergeCells>
  <conditionalFormatting sqref="J4:J153">
    <cfRule type="cellIs" priority="1" operator="lessThan" dxfId="0">
      <formula>6</formula>
    </cfRule>
    <cfRule type="cellIs" priority="2" operator="greaterThan" dxfId="1">
      <formula>8</formula>
    </cfRule>
  </conditionalFormatting>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showDropDown="0" showInputMessage="0" showErrorMessage="0" allowBlank="1" type="list">
      <formula1>"Sim,Não,Parcial"</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C0392B"/>
    <outlinePr summaryBelow="1" summaryRight="1"/>
    <pageSetUpPr fitToPage="1"/>
  </sheetPr>
  <dimension ref="A1:O154"/>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16" customWidth="1" min="3" max="3"/>
    <col width="38" customWidth="1" min="4" max="4"/>
    <col width="18" customWidth="1" min="5" max="5"/>
    <col width="24" customWidth="1" min="6" max="6"/>
    <col width="16" customWidth="1" min="7" max="7"/>
    <col width="18" customWidth="1" min="8" max="8"/>
    <col width="22" customWidth="1" min="9" max="9"/>
    <col width="18" customWidth="1" min="10" max="10"/>
    <col width="18" customWidth="1" min="11" max="11"/>
    <col width="30" customWidth="1" min="12" max="12"/>
    <col hidden="1" width="13" customWidth="1" min="14" max="14"/>
    <col hidden="1" width="13" customWidth="1" min="15" max="15"/>
  </cols>
  <sheetData>
    <row r="1" ht="38" customHeight="1">
      <c r="A1" s="47" t="inlineStr">
        <is>
          <t>MANUTENÇÃO PREVENTIVA — KIA BONGO 2014</t>
        </is>
      </c>
      <c r="B1" s="48" t="n"/>
      <c r="C1" s="48" t="n"/>
      <c r="D1" s="48" t="n"/>
      <c r="E1" s="48" t="n"/>
      <c r="F1" s="48" t="n"/>
      <c r="G1" s="48" t="n"/>
      <c r="H1" s="48" t="n"/>
      <c r="I1" s="48" t="n"/>
      <c r="J1" s="48" t="n"/>
      <c r="K1" s="48" t="n"/>
      <c r="L1" s="48" t="n"/>
      <c r="N1" t="inlineStr">
        <is>
          <t>Óleo do Motor 5W-30 (Diesel)</t>
        </is>
      </c>
      <c r="O1" t="n">
        <v>10000</v>
      </c>
    </row>
    <row r="2">
      <c r="N2" t="inlineStr">
        <is>
          <t>Filtro de Óleo</t>
        </is>
      </c>
      <c r="O2" t="n">
        <v>10000</v>
      </c>
    </row>
    <row r="3" ht="32" customHeight="1">
      <c r="A3" s="12" t="inlineStr">
        <is>
          <t>Nº</t>
        </is>
      </c>
      <c r="B3" s="12" t="inlineStr">
        <is>
          <t>Data</t>
        </is>
      </c>
      <c r="C3" s="12" t="inlineStr">
        <is>
          <t>Odômetro (km)</t>
        </is>
      </c>
      <c r="D3" s="12" t="inlineStr">
        <is>
          <t>Peça / Serviço</t>
        </is>
      </c>
      <c r="E3" s="12" t="inlineStr">
        <is>
          <t>Km Preventivo Ref.</t>
        </is>
      </c>
      <c r="F3" s="12" t="inlineStr">
        <is>
          <t>Oficina / Mecânico</t>
        </is>
      </c>
      <c r="G3" s="12" t="inlineStr">
        <is>
          <t>Valor (R$)</t>
        </is>
      </c>
      <c r="H3" s="12" t="inlineStr">
        <is>
          <t>Km da Última Troca</t>
        </is>
      </c>
      <c r="I3" s="12" t="inlineStr">
        <is>
          <t>Km Rodados desde Última</t>
        </is>
      </c>
      <c r="J3" s="12" t="inlineStr">
        <is>
          <t>Dias desde Última</t>
        </is>
      </c>
      <c r="K3" s="12" t="inlineStr">
        <is>
          <t>Próxima Troca (km)</t>
        </is>
      </c>
      <c r="L3" s="12" t="inlineStr">
        <is>
          <t>Observação</t>
        </is>
      </c>
      <c r="N3" t="inlineStr">
        <is>
          <t>Filtro de Combustível (Primário)</t>
        </is>
      </c>
      <c r="O3" t="n">
        <v>20000</v>
      </c>
    </row>
    <row r="4" ht="22" customHeight="1">
      <c r="A4" s="22" t="n">
        <v>1</v>
      </c>
      <c r="B4" s="23" t="n"/>
      <c r="C4" s="24" t="n"/>
      <c r="D4" s="22" t="n"/>
      <c r="E4" s="24">
        <f>IF(D4="","",VLOOKUP(D4,$N$1:$O$57,2,FALSE))</f>
        <v/>
      </c>
      <c r="F4" s="22" t="n"/>
      <c r="G4" s="25" t="n"/>
      <c r="H4" s="24" t="n"/>
      <c r="I4" s="24">
        <f>IF(OR(C4="",H4=""),"",C4-H4)</f>
        <v/>
      </c>
      <c r="J4" s="26">
        <f>IF(OR(B4="",H4=""),"",B4-IFERROR(INDEX(B$4:B$153,MATCH(1,(D$4:D$153=D4)*(C$4:C$153=H4),0)),B4))</f>
        <v/>
      </c>
      <c r="K4" s="24">
        <f>IF(OR(C4="",E4=""),"",C4+E4)</f>
        <v/>
      </c>
      <c r="L4" s="22" t="n"/>
      <c r="N4" t="inlineStr">
        <is>
          <t>Filtro de Combustível (Secundário)</t>
        </is>
      </c>
      <c r="O4" t="n">
        <v>20000</v>
      </c>
    </row>
    <row r="5" ht="22" customHeight="1">
      <c r="A5" s="27" t="n">
        <v>2</v>
      </c>
      <c r="B5" s="28" t="n"/>
      <c r="C5" s="29" t="n"/>
      <c r="D5" s="27" t="n"/>
      <c r="E5" s="29">
        <f>IF(D5="","",VLOOKUP(D5,$N$1:$O$57,2,FALSE))</f>
        <v/>
      </c>
      <c r="F5" s="27" t="n"/>
      <c r="G5" s="30" t="n"/>
      <c r="H5" s="29" t="n"/>
      <c r="I5" s="29">
        <f>IF(OR(C5="",H5=""),"",C5-H5)</f>
        <v/>
      </c>
      <c r="J5" s="31">
        <f>IF(OR(B5="",H5=""),"",B5-IFERROR(INDEX(B$4:B$153,MATCH(1,(D$4:D$153=D5)*(C$4:C$153=H5),0)),B5))</f>
        <v/>
      </c>
      <c r="K5" s="29">
        <f>IF(OR(C5="",E5=""),"",C5+E5)</f>
        <v/>
      </c>
      <c r="L5" s="27" t="n"/>
      <c r="N5" t="inlineStr">
        <is>
          <t>Filtro de Ar do Motor</t>
        </is>
      </c>
      <c r="O5" t="n">
        <v>20000</v>
      </c>
    </row>
    <row r="6" ht="22" customHeight="1">
      <c r="A6" s="22" t="n">
        <v>3</v>
      </c>
      <c r="B6" s="23" t="n"/>
      <c r="C6" s="24" t="n"/>
      <c r="D6" s="22" t="n"/>
      <c r="E6" s="24">
        <f>IF(D6="","",VLOOKUP(D6,$N$1:$O$57,2,FALSE))</f>
        <v/>
      </c>
      <c r="F6" s="22" t="n"/>
      <c r="G6" s="25" t="n"/>
      <c r="H6" s="24" t="n"/>
      <c r="I6" s="24">
        <f>IF(OR(C6="",H6=""),"",C6-H6)</f>
        <v/>
      </c>
      <c r="J6" s="26">
        <f>IF(OR(B6="",H6=""),"",B6-IFERROR(INDEX(B$4:B$153,MATCH(1,(D$4:D$153=D6)*(C$4:C$153=H6),0)),B6))</f>
        <v/>
      </c>
      <c r="K6" s="24">
        <f>IF(OR(C6="",E6=""),"",C6+E6)</f>
        <v/>
      </c>
      <c r="L6" s="22" t="n"/>
      <c r="N6" t="inlineStr">
        <is>
          <t>Filtro de Ar Condicionado (Cabine)</t>
        </is>
      </c>
      <c r="O6" t="n">
        <v>15000</v>
      </c>
    </row>
    <row r="7" ht="22" customHeight="1">
      <c r="A7" s="27" t="n">
        <v>4</v>
      </c>
      <c r="B7" s="28" t="n"/>
      <c r="C7" s="29" t="n"/>
      <c r="D7" s="27" t="n"/>
      <c r="E7" s="29">
        <f>IF(D7="","",VLOOKUP(D7,$N$1:$O$57,2,FALSE))</f>
        <v/>
      </c>
      <c r="F7" s="27" t="n"/>
      <c r="G7" s="30" t="n"/>
      <c r="H7" s="29" t="n"/>
      <c r="I7" s="29">
        <f>IF(OR(C7="",H7=""),"",C7-H7)</f>
        <v/>
      </c>
      <c r="J7" s="31">
        <f>IF(OR(B7="",H7=""),"",B7-IFERROR(INDEX(B$4:B$153,MATCH(1,(D$4:D$153=D7)*(C$4:C$153=H7),0)),B7))</f>
        <v/>
      </c>
      <c r="K7" s="29">
        <f>IF(OR(C7="",E7=""),"",C7+E7)</f>
        <v/>
      </c>
      <c r="L7" s="27" t="n"/>
      <c r="N7" t="inlineStr">
        <is>
          <t>Correia Dentada</t>
        </is>
      </c>
      <c r="O7" t="n">
        <v>80000</v>
      </c>
    </row>
    <row r="8" ht="22" customHeight="1">
      <c r="A8" s="22" t="n">
        <v>5</v>
      </c>
      <c r="B8" s="23" t="n"/>
      <c r="C8" s="24" t="n"/>
      <c r="D8" s="22" t="n"/>
      <c r="E8" s="24">
        <f>IF(D8="","",VLOOKUP(D8,$N$1:$O$57,2,FALSE))</f>
        <v/>
      </c>
      <c r="F8" s="22" t="n"/>
      <c r="G8" s="25" t="n"/>
      <c r="H8" s="24" t="n"/>
      <c r="I8" s="24">
        <f>IF(OR(C8="",H8=""),"",C8-H8)</f>
        <v/>
      </c>
      <c r="J8" s="26">
        <f>IF(OR(B8="",H8=""),"",B8-IFERROR(INDEX(B$4:B$153,MATCH(1,(D$4:D$153=D8)*(C$4:C$153=H8),0)),B8))</f>
        <v/>
      </c>
      <c r="K8" s="24">
        <f>IF(OR(C8="",E8=""),"",C8+E8)</f>
        <v/>
      </c>
      <c r="L8" s="22" t="n"/>
      <c r="N8" t="inlineStr">
        <is>
          <t>Correia do Alternador/Acessórios</t>
        </is>
      </c>
      <c r="O8" t="n">
        <v>50000</v>
      </c>
    </row>
    <row r="9" ht="22" customHeight="1">
      <c r="A9" s="27" t="n">
        <v>6</v>
      </c>
      <c r="B9" s="28" t="n"/>
      <c r="C9" s="29" t="n"/>
      <c r="D9" s="27" t="n"/>
      <c r="E9" s="29">
        <f>IF(D9="","",VLOOKUP(D9,$N$1:$O$57,2,FALSE))</f>
        <v/>
      </c>
      <c r="F9" s="27" t="n"/>
      <c r="G9" s="30" t="n"/>
      <c r="H9" s="29" t="n"/>
      <c r="I9" s="29">
        <f>IF(OR(C9="",H9=""),"",C9-H9)</f>
        <v/>
      </c>
      <c r="J9" s="31">
        <f>IF(OR(B9="",H9=""),"",B9-IFERROR(INDEX(B$4:B$153,MATCH(1,(D$4:D$153=D9)*(C$4:C$153=H9),0)),B9))</f>
        <v/>
      </c>
      <c r="K9" s="29">
        <f>IF(OR(C9="",E9=""),"",C9+E9)</f>
        <v/>
      </c>
      <c r="L9" s="27" t="n"/>
      <c r="N9" t="inlineStr">
        <is>
          <t>Tensor da Correia Dentada</t>
        </is>
      </c>
      <c r="O9" t="n">
        <v>80000</v>
      </c>
    </row>
    <row r="10" ht="22" customHeight="1">
      <c r="A10" s="22" t="n">
        <v>7</v>
      </c>
      <c r="B10" s="23" t="n"/>
      <c r="C10" s="24" t="n"/>
      <c r="D10" s="22" t="n"/>
      <c r="E10" s="24">
        <f>IF(D10="","",VLOOKUP(D10,$N$1:$O$57,2,FALSE))</f>
        <v/>
      </c>
      <c r="F10" s="22" t="n"/>
      <c r="G10" s="25" t="n"/>
      <c r="H10" s="24" t="n"/>
      <c r="I10" s="24">
        <f>IF(OR(C10="",H10=""),"",C10-H10)</f>
        <v/>
      </c>
      <c r="J10" s="26">
        <f>IF(OR(B10="",H10=""),"",B10-IFERROR(INDEX(B$4:B$153,MATCH(1,(D$4:D$153=D10)*(C$4:C$153=H10),0)),B10))</f>
        <v/>
      </c>
      <c r="K10" s="24">
        <f>IF(OR(C10="",E10=""),"",C10+E10)</f>
        <v/>
      </c>
      <c r="L10" s="22" t="n"/>
      <c r="N10" t="inlineStr">
        <is>
          <t>Bomba d'Água</t>
        </is>
      </c>
      <c r="O10" t="n">
        <v>80000</v>
      </c>
    </row>
    <row r="11" ht="22" customHeight="1">
      <c r="A11" s="27" t="n">
        <v>8</v>
      </c>
      <c r="B11" s="28" t="n"/>
      <c r="C11" s="29" t="n"/>
      <c r="D11" s="27" t="n"/>
      <c r="E11" s="29">
        <f>IF(D11="","",VLOOKUP(D11,$N$1:$O$57,2,FALSE))</f>
        <v/>
      </c>
      <c r="F11" s="27" t="n"/>
      <c r="G11" s="30" t="n"/>
      <c r="H11" s="29" t="n"/>
      <c r="I11" s="29">
        <f>IF(OR(C11="",H11=""),"",C11-H11)</f>
        <v/>
      </c>
      <c r="J11" s="31">
        <f>IF(OR(B11="",H11=""),"",B11-IFERROR(INDEX(B$4:B$153,MATCH(1,(D$4:D$153=D11)*(C$4:C$153=H11),0)),B11))</f>
        <v/>
      </c>
      <c r="K11" s="29">
        <f>IF(OR(C11="",E11=""),"",C11+E11)</f>
        <v/>
      </c>
      <c r="L11" s="27" t="n"/>
      <c r="N11" t="inlineStr">
        <is>
          <t>Kit de Embreagem (Disco + Platô + Rolamento)</t>
        </is>
      </c>
      <c r="O11" t="n">
        <v>70000</v>
      </c>
    </row>
    <row r="12" ht="22" customHeight="1">
      <c r="A12" s="22" t="n">
        <v>9</v>
      </c>
      <c r="B12" s="23" t="n"/>
      <c r="C12" s="24" t="n"/>
      <c r="D12" s="22" t="n"/>
      <c r="E12" s="24">
        <f>IF(D12="","",VLOOKUP(D12,$N$1:$O$57,2,FALSE))</f>
        <v/>
      </c>
      <c r="F12" s="22" t="n"/>
      <c r="G12" s="25" t="n"/>
      <c r="H12" s="24" t="n"/>
      <c r="I12" s="24">
        <f>IF(OR(C12="",H12=""),"",C12-H12)</f>
        <v/>
      </c>
      <c r="J12" s="26">
        <f>IF(OR(B12="",H12=""),"",B12-IFERROR(INDEX(B$4:B$153,MATCH(1,(D$4:D$153=D12)*(C$4:C$153=H12),0)),B12))</f>
        <v/>
      </c>
      <c r="K12" s="24">
        <f>IF(OR(C12="",E12=""),"",C12+E12)</f>
        <v/>
      </c>
      <c r="L12" s="22" t="n"/>
      <c r="N12" t="inlineStr">
        <is>
          <t>Atuador Hidráulico da Embreagem</t>
        </is>
      </c>
      <c r="O12" t="n">
        <v>70000</v>
      </c>
    </row>
    <row r="13" ht="22" customHeight="1">
      <c r="A13" s="27" t="n">
        <v>10</v>
      </c>
      <c r="B13" s="28" t="n"/>
      <c r="C13" s="29" t="n"/>
      <c r="D13" s="27" t="n"/>
      <c r="E13" s="29">
        <f>IF(D13="","",VLOOKUP(D13,$N$1:$O$57,2,FALSE))</f>
        <v/>
      </c>
      <c r="F13" s="27" t="n"/>
      <c r="G13" s="30" t="n"/>
      <c r="H13" s="29" t="n"/>
      <c r="I13" s="29">
        <f>IF(OR(C13="",H13=""),"",C13-H13)</f>
        <v/>
      </c>
      <c r="J13" s="31">
        <f>IF(OR(B13="",H13=""),"",B13-IFERROR(INDEX(B$4:B$153,MATCH(1,(D$4:D$153=D13)*(C$4:C$153=H13),0)),B13))</f>
        <v/>
      </c>
      <c r="K13" s="29">
        <f>IF(OR(C13="",E13=""),"",C13+E13)</f>
        <v/>
      </c>
      <c r="L13" s="27" t="n"/>
      <c r="N13" t="inlineStr">
        <is>
          <t>Fluido de Embreagem</t>
        </is>
      </c>
      <c r="O13" t="n">
        <v>30000</v>
      </c>
    </row>
    <row r="14" ht="22" customHeight="1">
      <c r="A14" s="22" t="n">
        <v>11</v>
      </c>
      <c r="B14" s="23" t="n"/>
      <c r="C14" s="24" t="n"/>
      <c r="D14" s="22" t="n"/>
      <c r="E14" s="24">
        <f>IF(D14="","",VLOOKUP(D14,$N$1:$O$57,2,FALSE))</f>
        <v/>
      </c>
      <c r="F14" s="22" t="n"/>
      <c r="G14" s="25" t="n"/>
      <c r="H14" s="24" t="n"/>
      <c r="I14" s="24">
        <f>IF(OR(C14="",H14=""),"",C14-H14)</f>
        <v/>
      </c>
      <c r="J14" s="26">
        <f>IF(OR(B14="",H14=""),"",B14-IFERROR(INDEX(B$4:B$153,MATCH(1,(D$4:D$153=D14)*(C$4:C$153=H14),0)),B14))</f>
        <v/>
      </c>
      <c r="K14" s="24">
        <f>IF(OR(C14="",E14=""),"",C14+E14)</f>
        <v/>
      </c>
      <c r="L14" s="22" t="n"/>
      <c r="N14" t="inlineStr">
        <is>
          <t>Pastilhas de Freio Dianteiras</t>
        </is>
      </c>
      <c r="O14" t="n">
        <v>25000</v>
      </c>
    </row>
    <row r="15" ht="22" customHeight="1">
      <c r="A15" s="27" t="n">
        <v>12</v>
      </c>
      <c r="B15" s="28" t="n"/>
      <c r="C15" s="29" t="n"/>
      <c r="D15" s="27" t="n"/>
      <c r="E15" s="29">
        <f>IF(D15="","",VLOOKUP(D15,$N$1:$O$57,2,FALSE))</f>
        <v/>
      </c>
      <c r="F15" s="27" t="n"/>
      <c r="G15" s="30" t="n"/>
      <c r="H15" s="29" t="n"/>
      <c r="I15" s="29">
        <f>IF(OR(C15="",H15=""),"",C15-H15)</f>
        <v/>
      </c>
      <c r="J15" s="31">
        <f>IF(OR(B15="",H15=""),"",B15-IFERROR(INDEX(B$4:B$153,MATCH(1,(D$4:D$153=D15)*(C$4:C$153=H15),0)),B15))</f>
        <v/>
      </c>
      <c r="K15" s="29">
        <f>IF(OR(C15="",E15=""),"",C15+E15)</f>
        <v/>
      </c>
      <c r="L15" s="27" t="n"/>
      <c r="N15" t="inlineStr">
        <is>
          <t>Lonas de Freio Traseiras</t>
        </is>
      </c>
      <c r="O15" t="n">
        <v>35000</v>
      </c>
    </row>
    <row r="16" ht="22" customHeight="1">
      <c r="A16" s="22" t="n">
        <v>13</v>
      </c>
      <c r="B16" s="23" t="n"/>
      <c r="C16" s="24" t="n"/>
      <c r="D16" s="22" t="n"/>
      <c r="E16" s="24">
        <f>IF(D16="","",VLOOKUP(D16,$N$1:$O$57,2,FALSE))</f>
        <v/>
      </c>
      <c r="F16" s="22" t="n"/>
      <c r="G16" s="25" t="n"/>
      <c r="H16" s="24" t="n"/>
      <c r="I16" s="24">
        <f>IF(OR(C16="",H16=""),"",C16-H16)</f>
        <v/>
      </c>
      <c r="J16" s="26">
        <f>IF(OR(B16="",H16=""),"",B16-IFERROR(INDEX(B$4:B$153,MATCH(1,(D$4:D$153=D16)*(C$4:C$153=H16),0)),B16))</f>
        <v/>
      </c>
      <c r="K16" s="24">
        <f>IF(OR(C16="",E16=""),"",C16+E16)</f>
        <v/>
      </c>
      <c r="L16" s="22" t="n"/>
      <c r="N16" t="inlineStr">
        <is>
          <t>Disco de Freio Dianteiro</t>
        </is>
      </c>
      <c r="O16" t="n">
        <v>50000</v>
      </c>
    </row>
    <row r="17" ht="22" customHeight="1">
      <c r="A17" s="27" t="n">
        <v>14</v>
      </c>
      <c r="B17" s="28" t="n"/>
      <c r="C17" s="29" t="n"/>
      <c r="D17" s="27" t="n"/>
      <c r="E17" s="29">
        <f>IF(D17="","",VLOOKUP(D17,$N$1:$O$57,2,FALSE))</f>
        <v/>
      </c>
      <c r="F17" s="27" t="n"/>
      <c r="G17" s="30" t="n"/>
      <c r="H17" s="29" t="n"/>
      <c r="I17" s="29">
        <f>IF(OR(C17="",H17=""),"",C17-H17)</f>
        <v/>
      </c>
      <c r="J17" s="31">
        <f>IF(OR(B17="",H17=""),"",B17-IFERROR(INDEX(B$4:B$153,MATCH(1,(D$4:D$153=D17)*(C$4:C$153=H17),0)),B17))</f>
        <v/>
      </c>
      <c r="K17" s="29">
        <f>IF(OR(C17="",E17=""),"",C17+E17)</f>
        <v/>
      </c>
      <c r="L17" s="27" t="n"/>
      <c r="N17" t="inlineStr">
        <is>
          <t>Tambor de Freio Traseiro</t>
        </is>
      </c>
      <c r="O17" t="n">
        <v>70000</v>
      </c>
    </row>
    <row r="18" ht="22" customHeight="1">
      <c r="A18" s="22" t="n">
        <v>15</v>
      </c>
      <c r="B18" s="23" t="n"/>
      <c r="C18" s="24" t="n"/>
      <c r="D18" s="22" t="n"/>
      <c r="E18" s="24">
        <f>IF(D18="","",VLOOKUP(D18,$N$1:$O$57,2,FALSE))</f>
        <v/>
      </c>
      <c r="F18" s="22" t="n"/>
      <c r="G18" s="25" t="n"/>
      <c r="H18" s="24" t="n"/>
      <c r="I18" s="24">
        <f>IF(OR(C18="",H18=""),"",C18-H18)</f>
        <v/>
      </c>
      <c r="J18" s="26">
        <f>IF(OR(B18="",H18=""),"",B18-IFERROR(INDEX(B$4:B$153,MATCH(1,(D$4:D$153=D18)*(C$4:C$153=H18),0)),B18))</f>
        <v/>
      </c>
      <c r="K18" s="24">
        <f>IF(OR(C18="",E18=""),"",C18+E18)</f>
        <v/>
      </c>
      <c r="L18" s="22" t="n"/>
      <c r="N18" t="inlineStr">
        <is>
          <t>Fluido de Freio DOT4</t>
        </is>
      </c>
      <c r="O18" t="n">
        <v>20000</v>
      </c>
    </row>
    <row r="19" ht="22" customHeight="1">
      <c r="A19" s="27" t="n">
        <v>16</v>
      </c>
      <c r="B19" s="28" t="n"/>
      <c r="C19" s="29" t="n"/>
      <c r="D19" s="27" t="n"/>
      <c r="E19" s="29">
        <f>IF(D19="","",VLOOKUP(D19,$N$1:$O$57,2,FALSE))</f>
        <v/>
      </c>
      <c r="F19" s="27" t="n"/>
      <c r="G19" s="30" t="n"/>
      <c r="H19" s="29" t="n"/>
      <c r="I19" s="29">
        <f>IF(OR(C19="",H19=""),"",C19-H19)</f>
        <v/>
      </c>
      <c r="J19" s="31">
        <f>IF(OR(B19="",H19=""),"",B19-IFERROR(INDEX(B$4:B$153,MATCH(1,(D$4:D$153=D19)*(C$4:C$153=H19),0)),B19))</f>
        <v/>
      </c>
      <c r="K19" s="29">
        <f>IF(OR(C19="",E19=""),"",C19+E19)</f>
        <v/>
      </c>
      <c r="L19" s="27" t="n"/>
      <c r="N19" t="inlineStr">
        <is>
          <t>Cilindro Mestre de Freio</t>
        </is>
      </c>
      <c r="O19" t="n">
        <v>100000</v>
      </c>
    </row>
    <row r="20" ht="22" customHeight="1">
      <c r="A20" s="22" t="n">
        <v>17</v>
      </c>
      <c r="B20" s="23" t="n"/>
      <c r="C20" s="24" t="n"/>
      <c r="D20" s="22" t="n"/>
      <c r="E20" s="24">
        <f>IF(D20="","",VLOOKUP(D20,$N$1:$O$57,2,FALSE))</f>
        <v/>
      </c>
      <c r="F20" s="22" t="n"/>
      <c r="G20" s="25" t="n"/>
      <c r="H20" s="24" t="n"/>
      <c r="I20" s="24">
        <f>IF(OR(C20="",H20=""),"",C20-H20)</f>
        <v/>
      </c>
      <c r="J20" s="26">
        <f>IF(OR(B20="",H20=""),"",B20-IFERROR(INDEX(B$4:B$153,MATCH(1,(D$4:D$153=D20)*(C$4:C$153=H20),0)),B20))</f>
        <v/>
      </c>
      <c r="K20" s="24">
        <f>IF(OR(C20="",E20=""),"",C20+E20)</f>
        <v/>
      </c>
      <c r="L20" s="22" t="n"/>
      <c r="N20" t="inlineStr">
        <is>
          <t>Óleo da Direção Hidráulica</t>
        </is>
      </c>
      <c r="O20" t="n">
        <v>40000</v>
      </c>
    </row>
    <row r="21" ht="22" customHeight="1">
      <c r="A21" s="27" t="n">
        <v>18</v>
      </c>
      <c r="B21" s="28" t="n"/>
      <c r="C21" s="29" t="n"/>
      <c r="D21" s="27" t="n"/>
      <c r="E21" s="29">
        <f>IF(D21="","",VLOOKUP(D21,$N$1:$O$57,2,FALSE))</f>
        <v/>
      </c>
      <c r="F21" s="27" t="n"/>
      <c r="G21" s="30" t="n"/>
      <c r="H21" s="29" t="n"/>
      <c r="I21" s="29">
        <f>IF(OR(C21="",H21=""),"",C21-H21)</f>
        <v/>
      </c>
      <c r="J21" s="31">
        <f>IF(OR(B21="",H21=""),"",B21-IFERROR(INDEX(B$4:B$153,MATCH(1,(D$4:D$153=D21)*(C$4:C$153=H21),0)),B21))</f>
        <v/>
      </c>
      <c r="K21" s="29">
        <f>IF(OR(C21="",E21=""),"",C21+E21)</f>
        <v/>
      </c>
      <c r="L21" s="27" t="n"/>
      <c r="N21" t="inlineStr">
        <is>
          <t>Bomba da Direção Hidráulica</t>
        </is>
      </c>
      <c r="O21" t="n">
        <v>120000</v>
      </c>
    </row>
    <row r="22" ht="22" customHeight="1">
      <c r="A22" s="22" t="n">
        <v>19</v>
      </c>
      <c r="B22" s="23" t="n"/>
      <c r="C22" s="24" t="n"/>
      <c r="D22" s="22" t="n"/>
      <c r="E22" s="24">
        <f>IF(D22="","",VLOOKUP(D22,$N$1:$O$57,2,FALSE))</f>
        <v/>
      </c>
      <c r="F22" s="22" t="n"/>
      <c r="G22" s="25" t="n"/>
      <c r="H22" s="24" t="n"/>
      <c r="I22" s="24">
        <f>IF(OR(C22="",H22=""),"",C22-H22)</f>
        <v/>
      </c>
      <c r="J22" s="26">
        <f>IF(OR(B22="",H22=""),"",B22-IFERROR(INDEX(B$4:B$153,MATCH(1,(D$4:D$153=D22)*(C$4:C$153=H22),0)),B22))</f>
        <v/>
      </c>
      <c r="K22" s="24">
        <f>IF(OR(C22="",E22=""),"",C22+E22)</f>
        <v/>
      </c>
      <c r="L22" s="22" t="n"/>
      <c r="N22" t="inlineStr">
        <is>
          <t>Amortecedores Dianteiros (par)</t>
        </is>
      </c>
      <c r="O22" t="n">
        <v>50000</v>
      </c>
    </row>
    <row r="23" ht="22" customHeight="1">
      <c r="A23" s="27" t="n">
        <v>20</v>
      </c>
      <c r="B23" s="28" t="n"/>
      <c r="C23" s="29" t="n"/>
      <c r="D23" s="27" t="n"/>
      <c r="E23" s="29">
        <f>IF(D23="","",VLOOKUP(D23,$N$1:$O$57,2,FALSE))</f>
        <v/>
      </c>
      <c r="F23" s="27" t="n"/>
      <c r="G23" s="30" t="n"/>
      <c r="H23" s="29" t="n"/>
      <c r="I23" s="29">
        <f>IF(OR(C23="",H23=""),"",C23-H23)</f>
        <v/>
      </c>
      <c r="J23" s="31">
        <f>IF(OR(B23="",H23=""),"",B23-IFERROR(INDEX(B$4:B$153,MATCH(1,(D$4:D$153=D23)*(C$4:C$153=H23),0)),B23))</f>
        <v/>
      </c>
      <c r="K23" s="29">
        <f>IF(OR(C23="",E23=""),"",C23+E23)</f>
        <v/>
      </c>
      <c r="L23" s="27" t="n"/>
      <c r="N23" t="inlineStr">
        <is>
          <t>Amortecedores Traseiros (par)</t>
        </is>
      </c>
      <c r="O23" t="n">
        <v>50000</v>
      </c>
    </row>
    <row r="24" ht="22" customHeight="1">
      <c r="A24" s="22" t="n">
        <v>21</v>
      </c>
      <c r="B24" s="23" t="n"/>
      <c r="C24" s="24" t="n"/>
      <c r="D24" s="22" t="n"/>
      <c r="E24" s="24">
        <f>IF(D24="","",VLOOKUP(D24,$N$1:$O$57,2,FALSE))</f>
        <v/>
      </c>
      <c r="F24" s="22" t="n"/>
      <c r="G24" s="25" t="n"/>
      <c r="H24" s="24" t="n"/>
      <c r="I24" s="24">
        <f>IF(OR(C24="",H24=""),"",C24-H24)</f>
        <v/>
      </c>
      <c r="J24" s="26">
        <f>IF(OR(B24="",H24=""),"",B24-IFERROR(INDEX(B$4:B$153,MATCH(1,(D$4:D$153=D24)*(C$4:C$153=H24),0)),B24))</f>
        <v/>
      </c>
      <c r="K24" s="24">
        <f>IF(OR(C24="",E24=""),"",C24+E24)</f>
        <v/>
      </c>
      <c r="L24" s="22" t="n"/>
      <c r="N24" t="inlineStr">
        <is>
          <t>Feixe de Molas Traseiro</t>
        </is>
      </c>
      <c r="O24" t="n">
        <v>100000</v>
      </c>
    </row>
    <row r="25" ht="22" customHeight="1">
      <c r="A25" s="27" t="n">
        <v>22</v>
      </c>
      <c r="B25" s="28" t="n"/>
      <c r="C25" s="29" t="n"/>
      <c r="D25" s="27" t="n"/>
      <c r="E25" s="29">
        <f>IF(D25="","",VLOOKUP(D25,$N$1:$O$57,2,FALSE))</f>
        <v/>
      </c>
      <c r="F25" s="27" t="n"/>
      <c r="G25" s="30" t="n"/>
      <c r="H25" s="29" t="n"/>
      <c r="I25" s="29">
        <f>IF(OR(C25="",H25=""),"",C25-H25)</f>
        <v/>
      </c>
      <c r="J25" s="31">
        <f>IF(OR(B25="",H25=""),"",B25-IFERROR(INDEX(B$4:B$153,MATCH(1,(D$4:D$153=D25)*(C$4:C$153=H25),0)),B25))</f>
        <v/>
      </c>
      <c r="K25" s="29">
        <f>IF(OR(C25="",E25=""),"",C25+E25)</f>
        <v/>
      </c>
      <c r="L25" s="27" t="n"/>
      <c r="N25" t="inlineStr">
        <is>
          <t>Molas Dianteiras (par)</t>
        </is>
      </c>
      <c r="O25" t="n">
        <v>80000</v>
      </c>
    </row>
    <row r="26" ht="22" customHeight="1">
      <c r="A26" s="22" t="n">
        <v>23</v>
      </c>
      <c r="B26" s="23" t="n"/>
      <c r="C26" s="24" t="n"/>
      <c r="D26" s="22" t="n"/>
      <c r="E26" s="24">
        <f>IF(D26="","",VLOOKUP(D26,$N$1:$O$57,2,FALSE))</f>
        <v/>
      </c>
      <c r="F26" s="22" t="n"/>
      <c r="G26" s="25" t="n"/>
      <c r="H26" s="24" t="n"/>
      <c r="I26" s="24">
        <f>IF(OR(C26="",H26=""),"",C26-H26)</f>
        <v/>
      </c>
      <c r="J26" s="26">
        <f>IF(OR(B26="",H26=""),"",B26-IFERROR(INDEX(B$4:B$153,MATCH(1,(D$4:D$153=D26)*(C$4:C$153=H26),0)),B26))</f>
        <v/>
      </c>
      <c r="K26" s="24">
        <f>IF(OR(C26="",E26=""),"",C26+E26)</f>
        <v/>
      </c>
      <c r="L26" s="22" t="n"/>
      <c r="N26" t="inlineStr">
        <is>
          <t>Buchas da Suspensão (jogo)</t>
        </is>
      </c>
      <c r="O26" t="n">
        <v>60000</v>
      </c>
    </row>
    <row r="27" ht="22" customHeight="1">
      <c r="A27" s="27" t="n">
        <v>24</v>
      </c>
      <c r="B27" s="28" t="n"/>
      <c r="C27" s="29" t="n"/>
      <c r="D27" s="27" t="n"/>
      <c r="E27" s="29">
        <f>IF(D27="","",VLOOKUP(D27,$N$1:$O$57,2,FALSE))</f>
        <v/>
      </c>
      <c r="F27" s="27" t="n"/>
      <c r="G27" s="30" t="n"/>
      <c r="H27" s="29" t="n"/>
      <c r="I27" s="29">
        <f>IF(OR(C27="",H27=""),"",C27-H27)</f>
        <v/>
      </c>
      <c r="J27" s="31">
        <f>IF(OR(B27="",H27=""),"",B27-IFERROR(INDEX(B$4:B$153,MATCH(1,(D$4:D$153=D27)*(C$4:C$153=H27),0)),B27))</f>
        <v/>
      </c>
      <c r="K27" s="29">
        <f>IF(OR(C27="",E27=""),"",C27+E27)</f>
        <v/>
      </c>
      <c r="L27" s="27" t="n"/>
      <c r="N27" t="inlineStr">
        <is>
          <t>Pivô de Direção (par)</t>
        </is>
      </c>
      <c r="O27" t="n">
        <v>50000</v>
      </c>
    </row>
    <row r="28" ht="22" customHeight="1">
      <c r="A28" s="22" t="n">
        <v>25</v>
      </c>
      <c r="B28" s="23" t="n"/>
      <c r="C28" s="24" t="n"/>
      <c r="D28" s="22" t="n"/>
      <c r="E28" s="24">
        <f>IF(D28="","",VLOOKUP(D28,$N$1:$O$57,2,FALSE))</f>
        <v/>
      </c>
      <c r="F28" s="22" t="n"/>
      <c r="G28" s="25" t="n"/>
      <c r="H28" s="24" t="n"/>
      <c r="I28" s="24">
        <f>IF(OR(C28="",H28=""),"",C28-H28)</f>
        <v/>
      </c>
      <c r="J28" s="26">
        <f>IF(OR(B28="",H28=""),"",B28-IFERROR(INDEX(B$4:B$153,MATCH(1,(D$4:D$153=D28)*(C$4:C$153=H28),0)),B28))</f>
        <v/>
      </c>
      <c r="K28" s="24">
        <f>IF(OR(C28="",E28=""),"",C28+E28)</f>
        <v/>
      </c>
      <c r="L28" s="22" t="n"/>
      <c r="N28" t="inlineStr">
        <is>
          <t>Terminais de Direção (par)</t>
        </is>
      </c>
      <c r="O28" t="n">
        <v>40000</v>
      </c>
    </row>
    <row r="29" ht="22" customHeight="1">
      <c r="A29" s="27" t="n">
        <v>26</v>
      </c>
      <c r="B29" s="28" t="n"/>
      <c r="C29" s="29" t="n"/>
      <c r="D29" s="27" t="n"/>
      <c r="E29" s="29">
        <f>IF(D29="","",VLOOKUP(D29,$N$1:$O$57,2,FALSE))</f>
        <v/>
      </c>
      <c r="F29" s="27" t="n"/>
      <c r="G29" s="30" t="n"/>
      <c r="H29" s="29" t="n"/>
      <c r="I29" s="29">
        <f>IF(OR(C29="",H29=""),"",C29-H29)</f>
        <v/>
      </c>
      <c r="J29" s="31">
        <f>IF(OR(B29="",H29=""),"",B29-IFERROR(INDEX(B$4:B$153,MATCH(1,(D$4:D$153=D29)*(C$4:C$153=H29),0)),B29))</f>
        <v/>
      </c>
      <c r="K29" s="29">
        <f>IF(OR(C29="",E29=""),"",C29+E29)</f>
        <v/>
      </c>
      <c r="L29" s="27" t="n"/>
      <c r="N29" t="inlineStr">
        <is>
          <t>Barra de Direção</t>
        </is>
      </c>
      <c r="O29" t="n">
        <v>70000</v>
      </c>
    </row>
    <row r="30" ht="22" customHeight="1">
      <c r="A30" s="22" t="n">
        <v>27</v>
      </c>
      <c r="B30" s="23" t="n"/>
      <c r="C30" s="24" t="n"/>
      <c r="D30" s="22" t="n"/>
      <c r="E30" s="24">
        <f>IF(D30="","",VLOOKUP(D30,$N$1:$O$57,2,FALSE))</f>
        <v/>
      </c>
      <c r="F30" s="22" t="n"/>
      <c r="G30" s="25" t="n"/>
      <c r="H30" s="24" t="n"/>
      <c r="I30" s="24">
        <f>IF(OR(C30="",H30=""),"",C30-H30)</f>
        <v/>
      </c>
      <c r="J30" s="26">
        <f>IF(OR(B30="",H30=""),"",B30-IFERROR(INDEX(B$4:B$153,MATCH(1,(D$4:D$153=D30)*(C$4:C$153=H30),0)),B30))</f>
        <v/>
      </c>
      <c r="K30" s="24">
        <f>IF(OR(C30="",E30=""),"",C30+E30)</f>
        <v/>
      </c>
      <c r="L30" s="22" t="n"/>
      <c r="N30" t="inlineStr">
        <is>
          <t>Braço Auxiliar de Direção</t>
        </is>
      </c>
      <c r="O30" t="n">
        <v>80000</v>
      </c>
    </row>
    <row r="31" ht="22" customHeight="1">
      <c r="A31" s="27" t="n">
        <v>28</v>
      </c>
      <c r="B31" s="28" t="n"/>
      <c r="C31" s="29" t="n"/>
      <c r="D31" s="27" t="n"/>
      <c r="E31" s="29">
        <f>IF(D31="","",VLOOKUP(D31,$N$1:$O$57,2,FALSE))</f>
        <v/>
      </c>
      <c r="F31" s="27" t="n"/>
      <c r="G31" s="30" t="n"/>
      <c r="H31" s="29" t="n"/>
      <c r="I31" s="29">
        <f>IF(OR(C31="",H31=""),"",C31-H31)</f>
        <v/>
      </c>
      <c r="J31" s="31">
        <f>IF(OR(B31="",H31=""),"",B31-IFERROR(INDEX(B$4:B$153,MATCH(1,(D$4:D$153=D31)*(C$4:C$153=H31),0)),B31))</f>
        <v/>
      </c>
      <c r="K31" s="29">
        <f>IF(OR(C31="",E31=""),"",C31+E31)</f>
        <v/>
      </c>
      <c r="L31" s="27" t="n"/>
      <c r="N31" t="inlineStr">
        <is>
          <t>Bateria 60Ah</t>
        </is>
      </c>
      <c r="O31" t="n">
        <v>40000</v>
      </c>
    </row>
    <row r="32" ht="22" customHeight="1">
      <c r="A32" s="22" t="n">
        <v>29</v>
      </c>
      <c r="B32" s="23" t="n"/>
      <c r="C32" s="24" t="n"/>
      <c r="D32" s="22" t="n"/>
      <c r="E32" s="24">
        <f>IF(D32="","",VLOOKUP(D32,$N$1:$O$57,2,FALSE))</f>
        <v/>
      </c>
      <c r="F32" s="22" t="n"/>
      <c r="G32" s="25" t="n"/>
      <c r="H32" s="24" t="n"/>
      <c r="I32" s="24">
        <f>IF(OR(C32="",H32=""),"",C32-H32)</f>
        <v/>
      </c>
      <c r="J32" s="26">
        <f>IF(OR(B32="",H32=""),"",B32-IFERROR(INDEX(B$4:B$153,MATCH(1,(D$4:D$153=D32)*(C$4:C$153=H32),0)),B32))</f>
        <v/>
      </c>
      <c r="K32" s="24">
        <f>IF(OR(C32="",E32=""),"",C32+E32)</f>
        <v/>
      </c>
      <c r="L32" s="22" t="n"/>
      <c r="N32" t="inlineStr">
        <is>
          <t>Alternador</t>
        </is>
      </c>
      <c r="O32" t="n">
        <v>120000</v>
      </c>
    </row>
    <row r="33" ht="22" customHeight="1">
      <c r="A33" s="27" t="n">
        <v>30</v>
      </c>
      <c r="B33" s="28" t="n"/>
      <c r="C33" s="29" t="n"/>
      <c r="D33" s="27" t="n"/>
      <c r="E33" s="29">
        <f>IF(D33="","",VLOOKUP(D33,$N$1:$O$57,2,FALSE))</f>
        <v/>
      </c>
      <c r="F33" s="27" t="n"/>
      <c r="G33" s="30" t="n"/>
      <c r="H33" s="29" t="n"/>
      <c r="I33" s="29">
        <f>IF(OR(C33="",H33=""),"",C33-H33)</f>
        <v/>
      </c>
      <c r="J33" s="31">
        <f>IF(OR(B33="",H33=""),"",B33-IFERROR(INDEX(B$4:B$153,MATCH(1,(D$4:D$153=D33)*(C$4:C$153=H33),0)),B33))</f>
        <v/>
      </c>
      <c r="K33" s="29">
        <f>IF(OR(C33="",E33=""),"",C33+E33)</f>
        <v/>
      </c>
      <c r="L33" s="27" t="n"/>
      <c r="N33" t="inlineStr">
        <is>
          <t>Motor de Arranque</t>
        </is>
      </c>
      <c r="O33" t="n">
        <v>120000</v>
      </c>
    </row>
    <row r="34" ht="22" customHeight="1">
      <c r="A34" s="22" t="n">
        <v>31</v>
      </c>
      <c r="B34" s="23" t="n"/>
      <c r="C34" s="24" t="n"/>
      <c r="D34" s="22" t="n"/>
      <c r="E34" s="24">
        <f>IF(D34="","",VLOOKUP(D34,$N$1:$O$57,2,FALSE))</f>
        <v/>
      </c>
      <c r="F34" s="22" t="n"/>
      <c r="G34" s="25" t="n"/>
      <c r="H34" s="24" t="n"/>
      <c r="I34" s="24">
        <f>IF(OR(C34="",H34=""),"",C34-H34)</f>
        <v/>
      </c>
      <c r="J34" s="26">
        <f>IF(OR(B34="",H34=""),"",B34-IFERROR(INDEX(B$4:B$153,MATCH(1,(D$4:D$153=D34)*(C$4:C$153=H34),0)),B34))</f>
        <v/>
      </c>
      <c r="K34" s="24">
        <f>IF(OR(C34="",E34=""),"",C34+E34)</f>
        <v/>
      </c>
      <c r="L34" s="22" t="n"/>
      <c r="N34" t="inlineStr">
        <is>
          <t>Velas de Aquecimento (jogo 4)</t>
        </is>
      </c>
      <c r="O34" t="n">
        <v>50000</v>
      </c>
    </row>
    <row r="35" ht="22" customHeight="1">
      <c r="A35" s="27" t="n">
        <v>32</v>
      </c>
      <c r="B35" s="28" t="n"/>
      <c r="C35" s="29" t="n"/>
      <c r="D35" s="27" t="n"/>
      <c r="E35" s="29">
        <f>IF(D35="","",VLOOKUP(D35,$N$1:$O$57,2,FALSE))</f>
        <v/>
      </c>
      <c r="F35" s="27" t="n"/>
      <c r="G35" s="30" t="n"/>
      <c r="H35" s="29" t="n"/>
      <c r="I35" s="29">
        <f>IF(OR(C35="",H35=""),"",C35-H35)</f>
        <v/>
      </c>
      <c r="J35" s="31">
        <f>IF(OR(B35="",H35=""),"",B35-IFERROR(INDEX(B$4:B$153,MATCH(1,(D$4:D$153=D35)*(C$4:C$153=H35),0)),B35))</f>
        <v/>
      </c>
      <c r="K35" s="29">
        <f>IF(OR(C35="",E35=""),"",C35+E35)</f>
        <v/>
      </c>
      <c r="L35" s="27" t="n"/>
      <c r="N35" t="inlineStr">
        <is>
          <t>Bomba Injetora</t>
        </is>
      </c>
      <c r="O35" t="n">
        <v>180000</v>
      </c>
    </row>
    <row r="36" ht="22" customHeight="1">
      <c r="A36" s="22" t="n">
        <v>33</v>
      </c>
      <c r="B36" s="23" t="n"/>
      <c r="C36" s="24" t="n"/>
      <c r="D36" s="22" t="n"/>
      <c r="E36" s="24">
        <f>IF(D36="","",VLOOKUP(D36,$N$1:$O$57,2,FALSE))</f>
        <v/>
      </c>
      <c r="F36" s="22" t="n"/>
      <c r="G36" s="25" t="n"/>
      <c r="H36" s="24" t="n"/>
      <c r="I36" s="24">
        <f>IF(OR(C36="",H36=""),"",C36-H36)</f>
        <v/>
      </c>
      <c r="J36" s="26">
        <f>IF(OR(B36="",H36=""),"",B36-IFERROR(INDEX(B$4:B$153,MATCH(1,(D$4:D$153=D36)*(C$4:C$153=H36),0)),B36))</f>
        <v/>
      </c>
      <c r="K36" s="24">
        <f>IF(OR(C36="",E36=""),"",C36+E36)</f>
        <v/>
      </c>
      <c r="L36" s="22" t="n"/>
      <c r="N36" t="inlineStr">
        <is>
          <t>Bicos Injetores (jogo 4)</t>
        </is>
      </c>
      <c r="O36" t="n">
        <v>120000</v>
      </c>
    </row>
    <row r="37" ht="22" customHeight="1">
      <c r="A37" s="27" t="n">
        <v>34</v>
      </c>
      <c r="B37" s="28" t="n"/>
      <c r="C37" s="29" t="n"/>
      <c r="D37" s="27" t="n"/>
      <c r="E37" s="29">
        <f>IF(D37="","",VLOOKUP(D37,$N$1:$O$57,2,FALSE))</f>
        <v/>
      </c>
      <c r="F37" s="27" t="n"/>
      <c r="G37" s="30" t="n"/>
      <c r="H37" s="29" t="n"/>
      <c r="I37" s="29">
        <f>IF(OR(C37="",H37=""),"",C37-H37)</f>
        <v/>
      </c>
      <c r="J37" s="31">
        <f>IF(OR(B37="",H37=""),"",B37-IFERROR(INDEX(B$4:B$153,MATCH(1,(D$4:D$153=D37)*(C$4:C$153=H37),0)),B37))</f>
        <v/>
      </c>
      <c r="K37" s="29">
        <f>IF(OR(C37="",E37=""),"",C37+E37)</f>
        <v/>
      </c>
      <c r="L37" s="27" t="n"/>
      <c r="N37" t="inlineStr">
        <is>
          <t>Turbina / Turbocompressor</t>
        </is>
      </c>
      <c r="O37" t="n">
        <v>180000</v>
      </c>
    </row>
    <row r="38" ht="22" customHeight="1">
      <c r="A38" s="22" t="n">
        <v>35</v>
      </c>
      <c r="B38" s="23" t="n"/>
      <c r="C38" s="24" t="n"/>
      <c r="D38" s="22" t="n"/>
      <c r="E38" s="24">
        <f>IF(D38="","",VLOOKUP(D38,$N$1:$O$57,2,FALSE))</f>
        <v/>
      </c>
      <c r="F38" s="22" t="n"/>
      <c r="G38" s="25" t="n"/>
      <c r="H38" s="24" t="n"/>
      <c r="I38" s="24">
        <f>IF(OR(C38="",H38=""),"",C38-H38)</f>
        <v/>
      </c>
      <c r="J38" s="26">
        <f>IF(OR(B38="",H38=""),"",B38-IFERROR(INDEX(B$4:B$153,MATCH(1,(D$4:D$153=D38)*(C$4:C$153=H38),0)),B38))</f>
        <v/>
      </c>
      <c r="K38" s="24">
        <f>IF(OR(C38="",E38=""),"",C38+E38)</f>
        <v/>
      </c>
      <c r="L38" s="22" t="n"/>
      <c r="N38" t="inlineStr">
        <is>
          <t>Intercooler</t>
        </is>
      </c>
      <c r="O38" t="n">
        <v>180000</v>
      </c>
    </row>
    <row r="39" ht="22" customHeight="1">
      <c r="A39" s="27" t="n">
        <v>36</v>
      </c>
      <c r="B39" s="28" t="n"/>
      <c r="C39" s="29" t="n"/>
      <c r="D39" s="27" t="n"/>
      <c r="E39" s="29">
        <f>IF(D39="","",VLOOKUP(D39,$N$1:$O$57,2,FALSE))</f>
        <v/>
      </c>
      <c r="F39" s="27" t="n"/>
      <c r="G39" s="30" t="n"/>
      <c r="H39" s="29" t="n"/>
      <c r="I39" s="29">
        <f>IF(OR(C39="",H39=""),"",C39-H39)</f>
        <v/>
      </c>
      <c r="J39" s="31">
        <f>IF(OR(B39="",H39=""),"",B39-IFERROR(INDEX(B$4:B$153,MATCH(1,(D$4:D$153=D39)*(C$4:C$153=H39),0)),B39))</f>
        <v/>
      </c>
      <c r="K39" s="29">
        <f>IF(OR(C39="",E39=""),"",C39+E39)</f>
        <v/>
      </c>
      <c r="L39" s="27" t="n"/>
      <c r="N39" t="inlineStr">
        <is>
          <t>Radiador</t>
        </is>
      </c>
      <c r="O39" t="n">
        <v>120000</v>
      </c>
    </row>
    <row r="40" ht="22" customHeight="1">
      <c r="A40" s="22" t="n">
        <v>37</v>
      </c>
      <c r="B40" s="23" t="n"/>
      <c r="C40" s="24" t="n"/>
      <c r="D40" s="22" t="n"/>
      <c r="E40" s="24">
        <f>IF(D40="","",VLOOKUP(D40,$N$1:$O$57,2,FALSE))</f>
        <v/>
      </c>
      <c r="F40" s="22" t="n"/>
      <c r="G40" s="25" t="n"/>
      <c r="H40" s="24" t="n"/>
      <c r="I40" s="24">
        <f>IF(OR(C40="",H40=""),"",C40-H40)</f>
        <v/>
      </c>
      <c r="J40" s="26">
        <f>IF(OR(B40="",H40=""),"",B40-IFERROR(INDEX(B$4:B$153,MATCH(1,(D$4:D$153=D40)*(C$4:C$153=H40),0)),B40))</f>
        <v/>
      </c>
      <c r="K40" s="24">
        <f>IF(OR(C40="",E40=""),"",C40+E40)</f>
        <v/>
      </c>
      <c r="L40" s="22" t="n"/>
      <c r="N40" t="inlineStr">
        <is>
          <t>Líquido de Arrefecimento</t>
        </is>
      </c>
      <c r="O40" t="n">
        <v>30000</v>
      </c>
    </row>
    <row r="41" ht="22" customHeight="1">
      <c r="A41" s="27" t="n">
        <v>38</v>
      </c>
      <c r="B41" s="28" t="n"/>
      <c r="C41" s="29" t="n"/>
      <c r="D41" s="27" t="n"/>
      <c r="E41" s="29">
        <f>IF(D41="","",VLOOKUP(D41,$N$1:$O$57,2,FALSE))</f>
        <v/>
      </c>
      <c r="F41" s="27" t="n"/>
      <c r="G41" s="30" t="n"/>
      <c r="H41" s="29" t="n"/>
      <c r="I41" s="29">
        <f>IF(OR(C41="",H41=""),"",C41-H41)</f>
        <v/>
      </c>
      <c r="J41" s="31">
        <f>IF(OR(B41="",H41=""),"",B41-IFERROR(INDEX(B$4:B$153,MATCH(1,(D$4:D$153=D41)*(C$4:C$153=H41),0)),B41))</f>
        <v/>
      </c>
      <c r="K41" s="29">
        <f>IF(OR(C41="",E41=""),"",C41+E41)</f>
        <v/>
      </c>
      <c r="L41" s="27" t="n"/>
      <c r="N41" t="inlineStr">
        <is>
          <t>Válvula Termostática</t>
        </is>
      </c>
      <c r="O41" t="n">
        <v>60000</v>
      </c>
    </row>
    <row r="42" ht="22" customHeight="1">
      <c r="A42" s="22" t="n">
        <v>39</v>
      </c>
      <c r="B42" s="23" t="n"/>
      <c r="C42" s="24" t="n"/>
      <c r="D42" s="22" t="n"/>
      <c r="E42" s="24">
        <f>IF(D42="","",VLOOKUP(D42,$N$1:$O$57,2,FALSE))</f>
        <v/>
      </c>
      <c r="F42" s="22" t="n"/>
      <c r="G42" s="25" t="n"/>
      <c r="H42" s="24" t="n"/>
      <c r="I42" s="24">
        <f>IF(OR(C42="",H42=""),"",C42-H42)</f>
        <v/>
      </c>
      <c r="J42" s="26">
        <f>IF(OR(B42="",H42=""),"",B42-IFERROR(INDEX(B$4:B$153,MATCH(1,(D$4:D$153=D42)*(C$4:C$153=H42),0)),B42))</f>
        <v/>
      </c>
      <c r="K42" s="24">
        <f>IF(OR(C42="",E42=""),"",C42+E42)</f>
        <v/>
      </c>
      <c r="L42" s="22" t="n"/>
      <c r="N42" t="inlineStr">
        <is>
          <t>Mangueiras do Radiador (superior/inferior)</t>
        </is>
      </c>
      <c r="O42" t="n">
        <v>50000</v>
      </c>
    </row>
    <row r="43" ht="22" customHeight="1">
      <c r="A43" s="27" t="n">
        <v>40</v>
      </c>
      <c r="B43" s="28" t="n"/>
      <c r="C43" s="29" t="n"/>
      <c r="D43" s="27" t="n"/>
      <c r="E43" s="29">
        <f>IF(D43="","",VLOOKUP(D43,$N$1:$O$57,2,FALSE))</f>
        <v/>
      </c>
      <c r="F43" s="27" t="n"/>
      <c r="G43" s="30" t="n"/>
      <c r="H43" s="29" t="n"/>
      <c r="I43" s="29">
        <f>IF(OR(C43="",H43=""),"",C43-H43)</f>
        <v/>
      </c>
      <c r="J43" s="31">
        <f>IF(OR(B43="",H43=""),"",B43-IFERROR(INDEX(B$4:B$153,MATCH(1,(D$4:D$153=D43)*(C$4:C$153=H43),0)),B43))</f>
        <v/>
      </c>
      <c r="K43" s="29">
        <f>IF(OR(C43="",E43=""),"",C43+E43)</f>
        <v/>
      </c>
      <c r="L43" s="27" t="n"/>
      <c r="N43" t="inlineStr">
        <is>
          <t>Ventoinha do Radiador (Viscosa)</t>
        </is>
      </c>
      <c r="O43" t="n">
        <v>100000</v>
      </c>
    </row>
    <row r="44" ht="22" customHeight="1">
      <c r="A44" s="22" t="n">
        <v>41</v>
      </c>
      <c r="B44" s="23" t="n"/>
      <c r="C44" s="24" t="n"/>
      <c r="D44" s="22" t="n"/>
      <c r="E44" s="24">
        <f>IF(D44="","",VLOOKUP(D44,$N$1:$O$57,2,FALSE))</f>
        <v/>
      </c>
      <c r="F44" s="22" t="n"/>
      <c r="G44" s="25" t="n"/>
      <c r="H44" s="24" t="n"/>
      <c r="I44" s="24">
        <f>IF(OR(C44="",H44=""),"",C44-H44)</f>
        <v/>
      </c>
      <c r="J44" s="26">
        <f>IF(OR(B44="",H44=""),"",B44-IFERROR(INDEX(B$4:B$153,MATCH(1,(D$4:D$153=D44)*(C$4:C$153=H44),0)),B44))</f>
        <v/>
      </c>
      <c r="K44" s="24">
        <f>IF(OR(C44="",E44=""),"",C44+E44)</f>
        <v/>
      </c>
      <c r="L44" s="22" t="n"/>
      <c r="N44" t="inlineStr">
        <is>
          <t>Óleo do Câmbio (Manual)</t>
        </is>
      </c>
      <c r="O44" t="n">
        <v>40000</v>
      </c>
    </row>
    <row r="45" ht="22" customHeight="1">
      <c r="A45" s="27" t="n">
        <v>42</v>
      </c>
      <c r="B45" s="28" t="n"/>
      <c r="C45" s="29" t="n"/>
      <c r="D45" s="27" t="n"/>
      <c r="E45" s="29">
        <f>IF(D45="","",VLOOKUP(D45,$N$1:$O$57,2,FALSE))</f>
        <v/>
      </c>
      <c r="F45" s="27" t="n"/>
      <c r="G45" s="30" t="n"/>
      <c r="H45" s="29" t="n"/>
      <c r="I45" s="29">
        <f>IF(OR(C45="",H45=""),"",C45-H45)</f>
        <v/>
      </c>
      <c r="J45" s="31">
        <f>IF(OR(B45="",H45=""),"",B45-IFERROR(INDEX(B$4:B$153,MATCH(1,(D$4:D$153=D45)*(C$4:C$153=H45),0)),B45))</f>
        <v/>
      </c>
      <c r="K45" s="29">
        <f>IF(OR(C45="",E45=""),"",C45+E45)</f>
        <v/>
      </c>
      <c r="L45" s="27" t="n"/>
      <c r="N45" t="inlineStr">
        <is>
          <t>Óleo do Diferencial</t>
        </is>
      </c>
      <c r="O45" t="n">
        <v>40000</v>
      </c>
    </row>
    <row r="46" ht="22" customHeight="1">
      <c r="A46" s="22" t="n">
        <v>43</v>
      </c>
      <c r="B46" s="23" t="n"/>
      <c r="C46" s="24" t="n"/>
      <c r="D46" s="22" t="n"/>
      <c r="E46" s="24">
        <f>IF(D46="","",VLOOKUP(D46,$N$1:$O$57,2,FALSE))</f>
        <v/>
      </c>
      <c r="F46" s="22" t="n"/>
      <c r="G46" s="25" t="n"/>
      <c r="H46" s="24" t="n"/>
      <c r="I46" s="24">
        <f>IF(OR(C46="",H46=""),"",C46-H46)</f>
        <v/>
      </c>
      <c r="J46" s="26">
        <f>IF(OR(B46="",H46=""),"",B46-IFERROR(INDEX(B$4:B$153,MATCH(1,(D$4:D$153=D46)*(C$4:C$153=H46),0)),B46))</f>
        <v/>
      </c>
      <c r="K46" s="24">
        <f>IF(OR(C46="",E46=""),"",C46+E46)</f>
        <v/>
      </c>
      <c r="L46" s="22" t="n"/>
      <c r="N46" t="inlineStr">
        <is>
          <t>Cruzetas do Cardan (jogo)</t>
        </is>
      </c>
      <c r="O46" t="n">
        <v>50000</v>
      </c>
    </row>
    <row r="47" ht="22" customHeight="1">
      <c r="A47" s="27" t="n">
        <v>44</v>
      </c>
      <c r="B47" s="28" t="n"/>
      <c r="C47" s="29" t="n"/>
      <c r="D47" s="27" t="n"/>
      <c r="E47" s="29">
        <f>IF(D47="","",VLOOKUP(D47,$N$1:$O$57,2,FALSE))</f>
        <v/>
      </c>
      <c r="F47" s="27" t="n"/>
      <c r="G47" s="30" t="n"/>
      <c r="H47" s="29" t="n"/>
      <c r="I47" s="29">
        <f>IF(OR(C47="",H47=""),"",C47-H47)</f>
        <v/>
      </c>
      <c r="J47" s="31">
        <f>IF(OR(B47="",H47=""),"",B47-IFERROR(INDEX(B$4:B$153,MATCH(1,(D$4:D$153=D47)*(C$4:C$153=H47),0)),B47))</f>
        <v/>
      </c>
      <c r="K47" s="29">
        <f>IF(OR(C47="",E47=""),"",C47+E47)</f>
        <v/>
      </c>
      <c r="L47" s="27" t="n"/>
      <c r="N47" t="inlineStr">
        <is>
          <t>Rolamento da Roda Dianteira (par)</t>
        </is>
      </c>
      <c r="O47" t="n">
        <v>70000</v>
      </c>
    </row>
    <row r="48" ht="22" customHeight="1">
      <c r="A48" s="22" t="n">
        <v>45</v>
      </c>
      <c r="B48" s="23" t="n"/>
      <c r="C48" s="24" t="n"/>
      <c r="D48" s="22" t="n"/>
      <c r="E48" s="24">
        <f>IF(D48="","",VLOOKUP(D48,$N$1:$O$57,2,FALSE))</f>
        <v/>
      </c>
      <c r="F48" s="22" t="n"/>
      <c r="G48" s="25" t="n"/>
      <c r="H48" s="24" t="n"/>
      <c r="I48" s="24">
        <f>IF(OR(C48="",H48=""),"",C48-H48)</f>
        <v/>
      </c>
      <c r="J48" s="26">
        <f>IF(OR(B48="",H48=""),"",B48-IFERROR(INDEX(B$4:B$153,MATCH(1,(D$4:D$153=D48)*(C$4:C$153=H48),0)),B48))</f>
        <v/>
      </c>
      <c r="K48" s="24">
        <f>IF(OR(C48="",E48=""),"",C48+E48)</f>
        <v/>
      </c>
      <c r="L48" s="22" t="n"/>
      <c r="N48" t="inlineStr">
        <is>
          <t>Rolamento da Roda Traseira (par)</t>
        </is>
      </c>
      <c r="O48" t="n">
        <v>80000</v>
      </c>
    </row>
    <row r="49" ht="22" customHeight="1">
      <c r="A49" s="27" t="n">
        <v>46</v>
      </c>
      <c r="B49" s="28" t="n"/>
      <c r="C49" s="29" t="n"/>
      <c r="D49" s="27" t="n"/>
      <c r="E49" s="29">
        <f>IF(D49="","",VLOOKUP(D49,$N$1:$O$57,2,FALSE))</f>
        <v/>
      </c>
      <c r="F49" s="27" t="n"/>
      <c r="G49" s="30" t="n"/>
      <c r="H49" s="29" t="n"/>
      <c r="I49" s="29">
        <f>IF(OR(C49="",H49=""),"",C49-H49)</f>
        <v/>
      </c>
      <c r="J49" s="31">
        <f>IF(OR(B49="",H49=""),"",B49-IFERROR(INDEX(B$4:B$153,MATCH(1,(D$4:D$153=D49)*(C$4:C$153=H49),0)),B49))</f>
        <v/>
      </c>
      <c r="K49" s="29">
        <f>IF(OR(C49="",E49=""),"",C49+E49)</f>
        <v/>
      </c>
      <c r="L49" s="27" t="n"/>
      <c r="N49" t="inlineStr">
        <is>
          <t>Pneu Dianteiro (par)</t>
        </is>
      </c>
      <c r="O49" t="n">
        <v>45000</v>
      </c>
    </row>
    <row r="50" ht="22" customHeight="1">
      <c r="A50" s="22" t="n">
        <v>47</v>
      </c>
      <c r="B50" s="23" t="n"/>
      <c r="C50" s="24" t="n"/>
      <c r="D50" s="22" t="n"/>
      <c r="E50" s="24">
        <f>IF(D50="","",VLOOKUP(D50,$N$1:$O$57,2,FALSE))</f>
        <v/>
      </c>
      <c r="F50" s="22" t="n"/>
      <c r="G50" s="25" t="n"/>
      <c r="H50" s="24" t="n"/>
      <c r="I50" s="24">
        <f>IF(OR(C50="",H50=""),"",C50-H50)</f>
        <v/>
      </c>
      <c r="J50" s="26">
        <f>IF(OR(B50="",H50=""),"",B50-IFERROR(INDEX(B$4:B$153,MATCH(1,(D$4:D$153=D50)*(C$4:C$153=H50),0)),B50))</f>
        <v/>
      </c>
      <c r="K50" s="24">
        <f>IF(OR(C50="",E50=""),"",C50+E50)</f>
        <v/>
      </c>
      <c r="L50" s="22" t="n"/>
      <c r="N50" t="inlineStr">
        <is>
          <t>Pneu Traseiro (par)</t>
        </is>
      </c>
      <c r="O50" t="n">
        <v>35000</v>
      </c>
    </row>
    <row r="51" ht="22" customHeight="1">
      <c r="A51" s="27" t="n">
        <v>48</v>
      </c>
      <c r="B51" s="28" t="n"/>
      <c r="C51" s="29" t="n"/>
      <c r="D51" s="27" t="n"/>
      <c r="E51" s="29">
        <f>IF(D51="","",VLOOKUP(D51,$N$1:$O$57,2,FALSE))</f>
        <v/>
      </c>
      <c r="F51" s="27" t="n"/>
      <c r="G51" s="30" t="n"/>
      <c r="H51" s="29" t="n"/>
      <c r="I51" s="29">
        <f>IF(OR(C51="",H51=""),"",C51-H51)</f>
        <v/>
      </c>
      <c r="J51" s="31">
        <f>IF(OR(B51="",H51=""),"",B51-IFERROR(INDEX(B$4:B$153,MATCH(1,(D$4:D$153=D51)*(C$4:C$153=H51),0)),B51))</f>
        <v/>
      </c>
      <c r="K51" s="29">
        <f>IF(OR(C51="",E51=""),"",C51+E51)</f>
        <v/>
      </c>
      <c r="L51" s="27" t="n"/>
      <c r="N51" t="inlineStr">
        <is>
          <t>Alinhamento e Balanceamento</t>
        </is>
      </c>
      <c r="O51" t="n">
        <v>10000</v>
      </c>
    </row>
    <row r="52" ht="22" customHeight="1">
      <c r="A52" s="22" t="n">
        <v>49</v>
      </c>
      <c r="B52" s="23" t="n"/>
      <c r="C52" s="24" t="n"/>
      <c r="D52" s="22" t="n"/>
      <c r="E52" s="24">
        <f>IF(D52="","",VLOOKUP(D52,$N$1:$O$57,2,FALSE))</f>
        <v/>
      </c>
      <c r="F52" s="22" t="n"/>
      <c r="G52" s="25" t="n"/>
      <c r="H52" s="24" t="n"/>
      <c r="I52" s="24">
        <f>IF(OR(C52="",H52=""),"",C52-H52)</f>
        <v/>
      </c>
      <c r="J52" s="26">
        <f>IF(OR(B52="",H52=""),"",B52-IFERROR(INDEX(B$4:B$153,MATCH(1,(D$4:D$153=D52)*(C$4:C$153=H52),0)),B52))</f>
        <v/>
      </c>
      <c r="K52" s="24">
        <f>IF(OR(C52="",E52=""),"",C52+E52)</f>
        <v/>
      </c>
      <c r="L52" s="22" t="n"/>
      <c r="N52" t="inlineStr">
        <is>
          <t>Escapamento Completo</t>
        </is>
      </c>
      <c r="O52" t="n">
        <v>80000</v>
      </c>
    </row>
    <row r="53" ht="22" customHeight="1">
      <c r="A53" s="27" t="n">
        <v>50</v>
      </c>
      <c r="B53" s="28" t="n"/>
      <c r="C53" s="29" t="n"/>
      <c r="D53" s="27" t="n"/>
      <c r="E53" s="29">
        <f>IF(D53="","",VLOOKUP(D53,$N$1:$O$57,2,FALSE))</f>
        <v/>
      </c>
      <c r="F53" s="27" t="n"/>
      <c r="G53" s="30" t="n"/>
      <c r="H53" s="29" t="n"/>
      <c r="I53" s="29">
        <f>IF(OR(C53="",H53=""),"",C53-H53)</f>
        <v/>
      </c>
      <c r="J53" s="31">
        <f>IF(OR(B53="",H53=""),"",B53-IFERROR(INDEX(B$4:B$153,MATCH(1,(D$4:D$153=D53)*(C$4:C$153=H53),0)),B53))</f>
        <v/>
      </c>
      <c r="K53" s="29">
        <f>IF(OR(C53="",E53=""),"",C53+E53)</f>
        <v/>
      </c>
      <c r="L53" s="27" t="n"/>
      <c r="N53" t="inlineStr">
        <is>
          <t>Catalisador / DPF</t>
        </is>
      </c>
      <c r="O53" t="n">
        <v>120000</v>
      </c>
    </row>
    <row r="54" ht="22" customHeight="1">
      <c r="A54" s="22" t="n">
        <v>51</v>
      </c>
      <c r="B54" s="23" t="n"/>
      <c r="C54" s="24" t="n"/>
      <c r="D54" s="22" t="n"/>
      <c r="E54" s="24">
        <f>IF(D54="","",VLOOKUP(D54,$N$1:$O$57,2,FALSE))</f>
        <v/>
      </c>
      <c r="F54" s="22" t="n"/>
      <c r="G54" s="25" t="n"/>
      <c r="H54" s="24" t="n"/>
      <c r="I54" s="24">
        <f>IF(OR(C54="",H54=""),"",C54-H54)</f>
        <v/>
      </c>
      <c r="J54" s="26">
        <f>IF(OR(B54="",H54=""),"",B54-IFERROR(INDEX(B$4:B$153,MATCH(1,(D$4:D$153=D54)*(C$4:C$153=H54),0)),B54))</f>
        <v/>
      </c>
      <c r="K54" s="24">
        <f>IF(OR(C54="",E54=""),"",C54+E54)</f>
        <v/>
      </c>
      <c r="L54" s="22" t="n"/>
      <c r="N54" t="inlineStr">
        <is>
          <t>Sensor de Temperatura</t>
        </is>
      </c>
      <c r="O54" t="n">
        <v>80000</v>
      </c>
    </row>
    <row r="55" ht="22" customHeight="1">
      <c r="A55" s="27" t="n">
        <v>52</v>
      </c>
      <c r="B55" s="28" t="n"/>
      <c r="C55" s="29" t="n"/>
      <c r="D55" s="27" t="n"/>
      <c r="E55" s="29">
        <f>IF(D55="","",VLOOKUP(D55,$N$1:$O$57,2,FALSE))</f>
        <v/>
      </c>
      <c r="F55" s="27" t="n"/>
      <c r="G55" s="30" t="n"/>
      <c r="H55" s="29" t="n"/>
      <c r="I55" s="29">
        <f>IF(OR(C55="",H55=""),"",C55-H55)</f>
        <v/>
      </c>
      <c r="J55" s="31">
        <f>IF(OR(B55="",H55=""),"",B55-IFERROR(INDEX(B$4:B$153,MATCH(1,(D$4:D$153=D55)*(C$4:C$153=H55),0)),B55))</f>
        <v/>
      </c>
      <c r="K55" s="29">
        <f>IF(OR(C55="",E55=""),"",C55+E55)</f>
        <v/>
      </c>
      <c r="L55" s="27" t="n"/>
      <c r="N55" t="inlineStr">
        <is>
          <t>Sensor MAP / Pressão Turbo</t>
        </is>
      </c>
      <c r="O55" t="n">
        <v>100000</v>
      </c>
    </row>
    <row r="56" ht="22" customHeight="1">
      <c r="A56" s="22" t="n">
        <v>53</v>
      </c>
      <c r="B56" s="23" t="n"/>
      <c r="C56" s="24" t="n"/>
      <c r="D56" s="22" t="n"/>
      <c r="E56" s="24">
        <f>IF(D56="","",VLOOKUP(D56,$N$1:$O$57,2,FALSE))</f>
        <v/>
      </c>
      <c r="F56" s="22" t="n"/>
      <c r="G56" s="25" t="n"/>
      <c r="H56" s="24" t="n"/>
      <c r="I56" s="24">
        <f>IF(OR(C56="",H56=""),"",C56-H56)</f>
        <v/>
      </c>
      <c r="J56" s="26">
        <f>IF(OR(B56="",H56=""),"",B56-IFERROR(INDEX(B$4:B$153,MATCH(1,(D$4:D$153=D56)*(C$4:C$153=H56),0)),B56))</f>
        <v/>
      </c>
      <c r="K56" s="24">
        <f>IF(OR(C56="",E56=""),"",C56+E56)</f>
        <v/>
      </c>
      <c r="L56" s="22" t="n"/>
      <c r="N56" t="inlineStr">
        <is>
          <t>Junta do Cabeçote</t>
        </is>
      </c>
      <c r="O56" t="n">
        <v>180000</v>
      </c>
    </row>
    <row r="57" ht="22" customHeight="1">
      <c r="A57" s="27" t="n">
        <v>54</v>
      </c>
      <c r="B57" s="28" t="n"/>
      <c r="C57" s="29" t="n"/>
      <c r="D57" s="27" t="n"/>
      <c r="E57" s="29">
        <f>IF(D57="","",VLOOKUP(D57,$N$1:$O$57,2,FALSE))</f>
        <v/>
      </c>
      <c r="F57" s="27" t="n"/>
      <c r="G57" s="30" t="n"/>
      <c r="H57" s="29" t="n"/>
      <c r="I57" s="29">
        <f>IF(OR(C57="",H57=""),"",C57-H57)</f>
        <v/>
      </c>
      <c r="J57" s="31">
        <f>IF(OR(B57="",H57=""),"",B57-IFERROR(INDEX(B$4:B$153,MATCH(1,(D$4:D$153=D57)*(C$4:C$153=H57),0)),B57))</f>
        <v/>
      </c>
      <c r="K57" s="29">
        <f>IF(OR(C57="",E57=""),"",C57+E57)</f>
        <v/>
      </c>
      <c r="L57" s="27" t="n"/>
      <c r="N57" t="inlineStr">
        <is>
          <t>Válvula EGR</t>
        </is>
      </c>
      <c r="O57" t="n">
        <v>80000</v>
      </c>
    </row>
    <row r="58" ht="22" customHeight="1">
      <c r="A58" s="22" t="n">
        <v>55</v>
      </c>
      <c r="B58" s="23" t="n"/>
      <c r="C58" s="24" t="n"/>
      <c r="D58" s="22" t="n"/>
      <c r="E58" s="24">
        <f>IF(D58="","",VLOOKUP(D58,$N$1:$O$57,2,FALSE))</f>
        <v/>
      </c>
      <c r="F58" s="22" t="n"/>
      <c r="G58" s="25" t="n"/>
      <c r="H58" s="24" t="n"/>
      <c r="I58" s="24">
        <f>IF(OR(C58="",H58=""),"",C58-H58)</f>
        <v/>
      </c>
      <c r="J58" s="26">
        <f>IF(OR(B58="",H58=""),"",B58-IFERROR(INDEX(B$4:B$153,MATCH(1,(D$4:D$153=D58)*(C$4:C$153=H58),0)),B58))</f>
        <v/>
      </c>
      <c r="K58" s="24">
        <f>IF(OR(C58="",E58=""),"",C58+E58)</f>
        <v/>
      </c>
      <c r="L58" s="22" t="n"/>
    </row>
    <row r="59" ht="22" customHeight="1">
      <c r="A59" s="27" t="n">
        <v>56</v>
      </c>
      <c r="B59" s="28" t="n"/>
      <c r="C59" s="29" t="n"/>
      <c r="D59" s="27" t="n"/>
      <c r="E59" s="29">
        <f>IF(D59="","",VLOOKUP(D59,$N$1:$O$57,2,FALSE))</f>
        <v/>
      </c>
      <c r="F59" s="27" t="n"/>
      <c r="G59" s="30" t="n"/>
      <c r="H59" s="29" t="n"/>
      <c r="I59" s="29">
        <f>IF(OR(C59="",H59=""),"",C59-H59)</f>
        <v/>
      </c>
      <c r="J59" s="31">
        <f>IF(OR(B59="",H59=""),"",B59-IFERROR(INDEX(B$4:B$153,MATCH(1,(D$4:D$153=D59)*(C$4:C$153=H59),0)),B59))</f>
        <v/>
      </c>
      <c r="K59" s="29">
        <f>IF(OR(C59="",E59=""),"",C59+E59)</f>
        <v/>
      </c>
      <c r="L59" s="27" t="n"/>
    </row>
    <row r="60" ht="22" customHeight="1">
      <c r="A60" s="22" t="n">
        <v>57</v>
      </c>
      <c r="B60" s="23" t="n"/>
      <c r="C60" s="24" t="n"/>
      <c r="D60" s="22" t="n"/>
      <c r="E60" s="24">
        <f>IF(D60="","",VLOOKUP(D60,$N$1:$O$57,2,FALSE))</f>
        <v/>
      </c>
      <c r="F60" s="22" t="n"/>
      <c r="G60" s="25" t="n"/>
      <c r="H60" s="24" t="n"/>
      <c r="I60" s="24">
        <f>IF(OR(C60="",H60=""),"",C60-H60)</f>
        <v/>
      </c>
      <c r="J60" s="26">
        <f>IF(OR(B60="",H60=""),"",B60-IFERROR(INDEX(B$4:B$153,MATCH(1,(D$4:D$153=D60)*(C$4:C$153=H60),0)),B60))</f>
        <v/>
      </c>
      <c r="K60" s="24">
        <f>IF(OR(C60="",E60=""),"",C60+E60)</f>
        <v/>
      </c>
      <c r="L60" s="22" t="n"/>
    </row>
    <row r="61" ht="22" customHeight="1">
      <c r="A61" s="27" t="n">
        <v>58</v>
      </c>
      <c r="B61" s="28" t="n"/>
      <c r="C61" s="29" t="n"/>
      <c r="D61" s="27" t="n"/>
      <c r="E61" s="29">
        <f>IF(D61="","",VLOOKUP(D61,$N$1:$O$57,2,FALSE))</f>
        <v/>
      </c>
      <c r="F61" s="27" t="n"/>
      <c r="G61" s="30" t="n"/>
      <c r="H61" s="29" t="n"/>
      <c r="I61" s="29">
        <f>IF(OR(C61="",H61=""),"",C61-H61)</f>
        <v/>
      </c>
      <c r="J61" s="31">
        <f>IF(OR(B61="",H61=""),"",B61-IFERROR(INDEX(B$4:B$153,MATCH(1,(D$4:D$153=D61)*(C$4:C$153=H61),0)),B61))</f>
        <v/>
      </c>
      <c r="K61" s="29">
        <f>IF(OR(C61="",E61=""),"",C61+E61)</f>
        <v/>
      </c>
      <c r="L61" s="27" t="n"/>
    </row>
    <row r="62" ht="22" customHeight="1">
      <c r="A62" s="22" t="n">
        <v>59</v>
      </c>
      <c r="B62" s="23" t="n"/>
      <c r="C62" s="24" t="n"/>
      <c r="D62" s="22" t="n"/>
      <c r="E62" s="24">
        <f>IF(D62="","",VLOOKUP(D62,$N$1:$O$57,2,FALSE))</f>
        <v/>
      </c>
      <c r="F62" s="22" t="n"/>
      <c r="G62" s="25" t="n"/>
      <c r="H62" s="24" t="n"/>
      <c r="I62" s="24">
        <f>IF(OR(C62="",H62=""),"",C62-H62)</f>
        <v/>
      </c>
      <c r="J62" s="26">
        <f>IF(OR(B62="",H62=""),"",B62-IFERROR(INDEX(B$4:B$153,MATCH(1,(D$4:D$153=D62)*(C$4:C$153=H62),0)),B62))</f>
        <v/>
      </c>
      <c r="K62" s="24">
        <f>IF(OR(C62="",E62=""),"",C62+E62)</f>
        <v/>
      </c>
      <c r="L62" s="22" t="n"/>
    </row>
    <row r="63" ht="22" customHeight="1">
      <c r="A63" s="27" t="n">
        <v>60</v>
      </c>
      <c r="B63" s="28" t="n"/>
      <c r="C63" s="29" t="n"/>
      <c r="D63" s="27" t="n"/>
      <c r="E63" s="29">
        <f>IF(D63="","",VLOOKUP(D63,$N$1:$O$57,2,FALSE))</f>
        <v/>
      </c>
      <c r="F63" s="27" t="n"/>
      <c r="G63" s="30" t="n"/>
      <c r="H63" s="29" t="n"/>
      <c r="I63" s="29">
        <f>IF(OR(C63="",H63=""),"",C63-H63)</f>
        <v/>
      </c>
      <c r="J63" s="31">
        <f>IF(OR(B63="",H63=""),"",B63-IFERROR(INDEX(B$4:B$153,MATCH(1,(D$4:D$153=D63)*(C$4:C$153=H63),0)),B63))</f>
        <v/>
      </c>
      <c r="K63" s="29">
        <f>IF(OR(C63="",E63=""),"",C63+E63)</f>
        <v/>
      </c>
      <c r="L63" s="27" t="n"/>
    </row>
    <row r="64" ht="22" customHeight="1">
      <c r="A64" s="22" t="n">
        <v>61</v>
      </c>
      <c r="B64" s="23" t="n"/>
      <c r="C64" s="24" t="n"/>
      <c r="D64" s="22" t="n"/>
      <c r="E64" s="24">
        <f>IF(D64="","",VLOOKUP(D64,$N$1:$O$57,2,FALSE))</f>
        <v/>
      </c>
      <c r="F64" s="22" t="n"/>
      <c r="G64" s="25" t="n"/>
      <c r="H64" s="24" t="n"/>
      <c r="I64" s="24">
        <f>IF(OR(C64="",H64=""),"",C64-H64)</f>
        <v/>
      </c>
      <c r="J64" s="26">
        <f>IF(OR(B64="",H64=""),"",B64-IFERROR(INDEX(B$4:B$153,MATCH(1,(D$4:D$153=D64)*(C$4:C$153=H64),0)),B64))</f>
        <v/>
      </c>
      <c r="K64" s="24">
        <f>IF(OR(C64="",E64=""),"",C64+E64)</f>
        <v/>
      </c>
      <c r="L64" s="22" t="n"/>
    </row>
    <row r="65" ht="22" customHeight="1">
      <c r="A65" s="27" t="n">
        <v>62</v>
      </c>
      <c r="B65" s="28" t="n"/>
      <c r="C65" s="29" t="n"/>
      <c r="D65" s="27" t="n"/>
      <c r="E65" s="29">
        <f>IF(D65="","",VLOOKUP(D65,$N$1:$O$57,2,FALSE))</f>
        <v/>
      </c>
      <c r="F65" s="27" t="n"/>
      <c r="G65" s="30" t="n"/>
      <c r="H65" s="29" t="n"/>
      <c r="I65" s="29">
        <f>IF(OR(C65="",H65=""),"",C65-H65)</f>
        <v/>
      </c>
      <c r="J65" s="31">
        <f>IF(OR(B65="",H65=""),"",B65-IFERROR(INDEX(B$4:B$153,MATCH(1,(D$4:D$153=D65)*(C$4:C$153=H65),0)),B65))</f>
        <v/>
      </c>
      <c r="K65" s="29">
        <f>IF(OR(C65="",E65=""),"",C65+E65)</f>
        <v/>
      </c>
      <c r="L65" s="27" t="n"/>
    </row>
    <row r="66" ht="22" customHeight="1">
      <c r="A66" s="22" t="n">
        <v>63</v>
      </c>
      <c r="B66" s="23" t="n"/>
      <c r="C66" s="24" t="n"/>
      <c r="D66" s="22" t="n"/>
      <c r="E66" s="24">
        <f>IF(D66="","",VLOOKUP(D66,$N$1:$O$57,2,FALSE))</f>
        <v/>
      </c>
      <c r="F66" s="22" t="n"/>
      <c r="G66" s="25" t="n"/>
      <c r="H66" s="24" t="n"/>
      <c r="I66" s="24">
        <f>IF(OR(C66="",H66=""),"",C66-H66)</f>
        <v/>
      </c>
      <c r="J66" s="26">
        <f>IF(OR(B66="",H66=""),"",B66-IFERROR(INDEX(B$4:B$153,MATCH(1,(D$4:D$153=D66)*(C$4:C$153=H66),0)),B66))</f>
        <v/>
      </c>
      <c r="K66" s="24">
        <f>IF(OR(C66="",E66=""),"",C66+E66)</f>
        <v/>
      </c>
      <c r="L66" s="22" t="n"/>
    </row>
    <row r="67" ht="22" customHeight="1">
      <c r="A67" s="27" t="n">
        <v>64</v>
      </c>
      <c r="B67" s="28" t="n"/>
      <c r="C67" s="29" t="n"/>
      <c r="D67" s="27" t="n"/>
      <c r="E67" s="29">
        <f>IF(D67="","",VLOOKUP(D67,$N$1:$O$57,2,FALSE))</f>
        <v/>
      </c>
      <c r="F67" s="27" t="n"/>
      <c r="G67" s="30" t="n"/>
      <c r="H67" s="29" t="n"/>
      <c r="I67" s="29">
        <f>IF(OR(C67="",H67=""),"",C67-H67)</f>
        <v/>
      </c>
      <c r="J67" s="31">
        <f>IF(OR(B67="",H67=""),"",B67-IFERROR(INDEX(B$4:B$153,MATCH(1,(D$4:D$153=D67)*(C$4:C$153=H67),0)),B67))</f>
        <v/>
      </c>
      <c r="K67" s="29">
        <f>IF(OR(C67="",E67=""),"",C67+E67)</f>
        <v/>
      </c>
      <c r="L67" s="27" t="n"/>
    </row>
    <row r="68" ht="22" customHeight="1">
      <c r="A68" s="22" t="n">
        <v>65</v>
      </c>
      <c r="B68" s="23" t="n"/>
      <c r="C68" s="24" t="n"/>
      <c r="D68" s="22" t="n"/>
      <c r="E68" s="24">
        <f>IF(D68="","",VLOOKUP(D68,$N$1:$O$57,2,FALSE))</f>
        <v/>
      </c>
      <c r="F68" s="22" t="n"/>
      <c r="G68" s="25" t="n"/>
      <c r="H68" s="24" t="n"/>
      <c r="I68" s="24">
        <f>IF(OR(C68="",H68=""),"",C68-H68)</f>
        <v/>
      </c>
      <c r="J68" s="26">
        <f>IF(OR(B68="",H68=""),"",B68-IFERROR(INDEX(B$4:B$153,MATCH(1,(D$4:D$153=D68)*(C$4:C$153=H68),0)),B68))</f>
        <v/>
      </c>
      <c r="K68" s="24">
        <f>IF(OR(C68="",E68=""),"",C68+E68)</f>
        <v/>
      </c>
      <c r="L68" s="22" t="n"/>
    </row>
    <row r="69" ht="22" customHeight="1">
      <c r="A69" s="27" t="n">
        <v>66</v>
      </c>
      <c r="B69" s="28" t="n"/>
      <c r="C69" s="29" t="n"/>
      <c r="D69" s="27" t="n"/>
      <c r="E69" s="29">
        <f>IF(D69="","",VLOOKUP(D69,$N$1:$O$57,2,FALSE))</f>
        <v/>
      </c>
      <c r="F69" s="27" t="n"/>
      <c r="G69" s="30" t="n"/>
      <c r="H69" s="29" t="n"/>
      <c r="I69" s="29">
        <f>IF(OR(C69="",H69=""),"",C69-H69)</f>
        <v/>
      </c>
      <c r="J69" s="31">
        <f>IF(OR(B69="",H69=""),"",B69-IFERROR(INDEX(B$4:B$153,MATCH(1,(D$4:D$153=D69)*(C$4:C$153=H69),0)),B69))</f>
        <v/>
      </c>
      <c r="K69" s="29">
        <f>IF(OR(C69="",E69=""),"",C69+E69)</f>
        <v/>
      </c>
      <c r="L69" s="27" t="n"/>
    </row>
    <row r="70" ht="22" customHeight="1">
      <c r="A70" s="22" t="n">
        <v>67</v>
      </c>
      <c r="B70" s="23" t="n"/>
      <c r="C70" s="24" t="n"/>
      <c r="D70" s="22" t="n"/>
      <c r="E70" s="24">
        <f>IF(D70="","",VLOOKUP(D70,$N$1:$O$57,2,FALSE))</f>
        <v/>
      </c>
      <c r="F70" s="22" t="n"/>
      <c r="G70" s="25" t="n"/>
      <c r="H70" s="24" t="n"/>
      <c r="I70" s="24">
        <f>IF(OR(C70="",H70=""),"",C70-H70)</f>
        <v/>
      </c>
      <c r="J70" s="26">
        <f>IF(OR(B70="",H70=""),"",B70-IFERROR(INDEX(B$4:B$153,MATCH(1,(D$4:D$153=D70)*(C$4:C$153=H70),0)),B70))</f>
        <v/>
      </c>
      <c r="K70" s="24">
        <f>IF(OR(C70="",E70=""),"",C70+E70)</f>
        <v/>
      </c>
      <c r="L70" s="22" t="n"/>
    </row>
    <row r="71" ht="22" customHeight="1">
      <c r="A71" s="27" t="n">
        <v>68</v>
      </c>
      <c r="B71" s="28" t="n"/>
      <c r="C71" s="29" t="n"/>
      <c r="D71" s="27" t="n"/>
      <c r="E71" s="29">
        <f>IF(D71="","",VLOOKUP(D71,$N$1:$O$57,2,FALSE))</f>
        <v/>
      </c>
      <c r="F71" s="27" t="n"/>
      <c r="G71" s="30" t="n"/>
      <c r="H71" s="29" t="n"/>
      <c r="I71" s="29">
        <f>IF(OR(C71="",H71=""),"",C71-H71)</f>
        <v/>
      </c>
      <c r="J71" s="31">
        <f>IF(OR(B71="",H71=""),"",B71-IFERROR(INDEX(B$4:B$153,MATCH(1,(D$4:D$153=D71)*(C$4:C$153=H71),0)),B71))</f>
        <v/>
      </c>
      <c r="K71" s="29">
        <f>IF(OR(C71="",E71=""),"",C71+E71)</f>
        <v/>
      </c>
      <c r="L71" s="27" t="n"/>
    </row>
    <row r="72" ht="22" customHeight="1">
      <c r="A72" s="22" t="n">
        <v>69</v>
      </c>
      <c r="B72" s="23" t="n"/>
      <c r="C72" s="24" t="n"/>
      <c r="D72" s="22" t="n"/>
      <c r="E72" s="24">
        <f>IF(D72="","",VLOOKUP(D72,$N$1:$O$57,2,FALSE))</f>
        <v/>
      </c>
      <c r="F72" s="22" t="n"/>
      <c r="G72" s="25" t="n"/>
      <c r="H72" s="24" t="n"/>
      <c r="I72" s="24">
        <f>IF(OR(C72="",H72=""),"",C72-H72)</f>
        <v/>
      </c>
      <c r="J72" s="26">
        <f>IF(OR(B72="",H72=""),"",B72-IFERROR(INDEX(B$4:B$153,MATCH(1,(D$4:D$153=D72)*(C$4:C$153=H72),0)),B72))</f>
        <v/>
      </c>
      <c r="K72" s="24">
        <f>IF(OR(C72="",E72=""),"",C72+E72)</f>
        <v/>
      </c>
      <c r="L72" s="22" t="n"/>
    </row>
    <row r="73" ht="22" customHeight="1">
      <c r="A73" s="27" t="n">
        <v>70</v>
      </c>
      <c r="B73" s="28" t="n"/>
      <c r="C73" s="29" t="n"/>
      <c r="D73" s="27" t="n"/>
      <c r="E73" s="29">
        <f>IF(D73="","",VLOOKUP(D73,$N$1:$O$57,2,FALSE))</f>
        <v/>
      </c>
      <c r="F73" s="27" t="n"/>
      <c r="G73" s="30" t="n"/>
      <c r="H73" s="29" t="n"/>
      <c r="I73" s="29">
        <f>IF(OR(C73="",H73=""),"",C73-H73)</f>
        <v/>
      </c>
      <c r="J73" s="31">
        <f>IF(OR(B73="",H73=""),"",B73-IFERROR(INDEX(B$4:B$153,MATCH(1,(D$4:D$153=D73)*(C$4:C$153=H73),0)),B73))</f>
        <v/>
      </c>
      <c r="K73" s="29">
        <f>IF(OR(C73="",E73=""),"",C73+E73)</f>
        <v/>
      </c>
      <c r="L73" s="27" t="n"/>
    </row>
    <row r="74" ht="22" customHeight="1">
      <c r="A74" s="22" t="n">
        <v>71</v>
      </c>
      <c r="B74" s="23" t="n"/>
      <c r="C74" s="24" t="n"/>
      <c r="D74" s="22" t="n"/>
      <c r="E74" s="24">
        <f>IF(D74="","",VLOOKUP(D74,$N$1:$O$57,2,FALSE))</f>
        <v/>
      </c>
      <c r="F74" s="22" t="n"/>
      <c r="G74" s="25" t="n"/>
      <c r="H74" s="24" t="n"/>
      <c r="I74" s="24">
        <f>IF(OR(C74="",H74=""),"",C74-H74)</f>
        <v/>
      </c>
      <c r="J74" s="26">
        <f>IF(OR(B74="",H74=""),"",B74-IFERROR(INDEX(B$4:B$153,MATCH(1,(D$4:D$153=D74)*(C$4:C$153=H74),0)),B74))</f>
        <v/>
      </c>
      <c r="K74" s="24">
        <f>IF(OR(C74="",E74=""),"",C74+E74)</f>
        <v/>
      </c>
      <c r="L74" s="22" t="n"/>
    </row>
    <row r="75" ht="22" customHeight="1">
      <c r="A75" s="27" t="n">
        <v>72</v>
      </c>
      <c r="B75" s="28" t="n"/>
      <c r="C75" s="29" t="n"/>
      <c r="D75" s="27" t="n"/>
      <c r="E75" s="29">
        <f>IF(D75="","",VLOOKUP(D75,$N$1:$O$57,2,FALSE))</f>
        <v/>
      </c>
      <c r="F75" s="27" t="n"/>
      <c r="G75" s="30" t="n"/>
      <c r="H75" s="29" t="n"/>
      <c r="I75" s="29">
        <f>IF(OR(C75="",H75=""),"",C75-H75)</f>
        <v/>
      </c>
      <c r="J75" s="31">
        <f>IF(OR(B75="",H75=""),"",B75-IFERROR(INDEX(B$4:B$153,MATCH(1,(D$4:D$153=D75)*(C$4:C$153=H75),0)),B75))</f>
        <v/>
      </c>
      <c r="K75" s="29">
        <f>IF(OR(C75="",E75=""),"",C75+E75)</f>
        <v/>
      </c>
      <c r="L75" s="27" t="n"/>
    </row>
    <row r="76" ht="22" customHeight="1">
      <c r="A76" s="22" t="n">
        <v>73</v>
      </c>
      <c r="B76" s="23" t="n"/>
      <c r="C76" s="24" t="n"/>
      <c r="D76" s="22" t="n"/>
      <c r="E76" s="24">
        <f>IF(D76="","",VLOOKUP(D76,$N$1:$O$57,2,FALSE))</f>
        <v/>
      </c>
      <c r="F76" s="22" t="n"/>
      <c r="G76" s="25" t="n"/>
      <c r="H76" s="24" t="n"/>
      <c r="I76" s="24">
        <f>IF(OR(C76="",H76=""),"",C76-H76)</f>
        <v/>
      </c>
      <c r="J76" s="26">
        <f>IF(OR(B76="",H76=""),"",B76-IFERROR(INDEX(B$4:B$153,MATCH(1,(D$4:D$153=D76)*(C$4:C$153=H76),0)),B76))</f>
        <v/>
      </c>
      <c r="K76" s="24">
        <f>IF(OR(C76="",E76=""),"",C76+E76)</f>
        <v/>
      </c>
      <c r="L76" s="22" t="n"/>
    </row>
    <row r="77" ht="22" customHeight="1">
      <c r="A77" s="27" t="n">
        <v>74</v>
      </c>
      <c r="B77" s="28" t="n"/>
      <c r="C77" s="29" t="n"/>
      <c r="D77" s="27" t="n"/>
      <c r="E77" s="29">
        <f>IF(D77="","",VLOOKUP(D77,$N$1:$O$57,2,FALSE))</f>
        <v/>
      </c>
      <c r="F77" s="27" t="n"/>
      <c r="G77" s="30" t="n"/>
      <c r="H77" s="29" t="n"/>
      <c r="I77" s="29">
        <f>IF(OR(C77="",H77=""),"",C77-H77)</f>
        <v/>
      </c>
      <c r="J77" s="31">
        <f>IF(OR(B77="",H77=""),"",B77-IFERROR(INDEX(B$4:B$153,MATCH(1,(D$4:D$153=D77)*(C$4:C$153=H77),0)),B77))</f>
        <v/>
      </c>
      <c r="K77" s="29">
        <f>IF(OR(C77="",E77=""),"",C77+E77)</f>
        <v/>
      </c>
      <c r="L77" s="27" t="n"/>
    </row>
    <row r="78" ht="22" customHeight="1">
      <c r="A78" s="22" t="n">
        <v>75</v>
      </c>
      <c r="B78" s="23" t="n"/>
      <c r="C78" s="24" t="n"/>
      <c r="D78" s="22" t="n"/>
      <c r="E78" s="24">
        <f>IF(D78="","",VLOOKUP(D78,$N$1:$O$57,2,FALSE))</f>
        <v/>
      </c>
      <c r="F78" s="22" t="n"/>
      <c r="G78" s="25" t="n"/>
      <c r="H78" s="24" t="n"/>
      <c r="I78" s="24">
        <f>IF(OR(C78="",H78=""),"",C78-H78)</f>
        <v/>
      </c>
      <c r="J78" s="26">
        <f>IF(OR(B78="",H78=""),"",B78-IFERROR(INDEX(B$4:B$153,MATCH(1,(D$4:D$153=D78)*(C$4:C$153=H78),0)),B78))</f>
        <v/>
      </c>
      <c r="K78" s="24">
        <f>IF(OR(C78="",E78=""),"",C78+E78)</f>
        <v/>
      </c>
      <c r="L78" s="22" t="n"/>
    </row>
    <row r="79" ht="22" customHeight="1">
      <c r="A79" s="27" t="n">
        <v>76</v>
      </c>
      <c r="B79" s="28" t="n"/>
      <c r="C79" s="29" t="n"/>
      <c r="D79" s="27" t="n"/>
      <c r="E79" s="29">
        <f>IF(D79="","",VLOOKUP(D79,$N$1:$O$57,2,FALSE))</f>
        <v/>
      </c>
      <c r="F79" s="27" t="n"/>
      <c r="G79" s="30" t="n"/>
      <c r="H79" s="29" t="n"/>
      <c r="I79" s="29">
        <f>IF(OR(C79="",H79=""),"",C79-H79)</f>
        <v/>
      </c>
      <c r="J79" s="31">
        <f>IF(OR(B79="",H79=""),"",B79-IFERROR(INDEX(B$4:B$153,MATCH(1,(D$4:D$153=D79)*(C$4:C$153=H79),0)),B79))</f>
        <v/>
      </c>
      <c r="K79" s="29">
        <f>IF(OR(C79="",E79=""),"",C79+E79)</f>
        <v/>
      </c>
      <c r="L79" s="27" t="n"/>
    </row>
    <row r="80" ht="22" customHeight="1">
      <c r="A80" s="22" t="n">
        <v>77</v>
      </c>
      <c r="B80" s="23" t="n"/>
      <c r="C80" s="24" t="n"/>
      <c r="D80" s="22" t="n"/>
      <c r="E80" s="24">
        <f>IF(D80="","",VLOOKUP(D80,$N$1:$O$57,2,FALSE))</f>
        <v/>
      </c>
      <c r="F80" s="22" t="n"/>
      <c r="G80" s="25" t="n"/>
      <c r="H80" s="24" t="n"/>
      <c r="I80" s="24">
        <f>IF(OR(C80="",H80=""),"",C80-H80)</f>
        <v/>
      </c>
      <c r="J80" s="26">
        <f>IF(OR(B80="",H80=""),"",B80-IFERROR(INDEX(B$4:B$153,MATCH(1,(D$4:D$153=D80)*(C$4:C$153=H80),0)),B80))</f>
        <v/>
      </c>
      <c r="K80" s="24">
        <f>IF(OR(C80="",E80=""),"",C80+E80)</f>
        <v/>
      </c>
      <c r="L80" s="22" t="n"/>
    </row>
    <row r="81" ht="22" customHeight="1">
      <c r="A81" s="27" t="n">
        <v>78</v>
      </c>
      <c r="B81" s="28" t="n"/>
      <c r="C81" s="29" t="n"/>
      <c r="D81" s="27" t="n"/>
      <c r="E81" s="29">
        <f>IF(D81="","",VLOOKUP(D81,$N$1:$O$57,2,FALSE))</f>
        <v/>
      </c>
      <c r="F81" s="27" t="n"/>
      <c r="G81" s="30" t="n"/>
      <c r="H81" s="29" t="n"/>
      <c r="I81" s="29">
        <f>IF(OR(C81="",H81=""),"",C81-H81)</f>
        <v/>
      </c>
      <c r="J81" s="31">
        <f>IF(OR(B81="",H81=""),"",B81-IFERROR(INDEX(B$4:B$153,MATCH(1,(D$4:D$153=D81)*(C$4:C$153=H81),0)),B81))</f>
        <v/>
      </c>
      <c r="K81" s="29">
        <f>IF(OR(C81="",E81=""),"",C81+E81)</f>
        <v/>
      </c>
      <c r="L81" s="27" t="n"/>
    </row>
    <row r="82" ht="22" customHeight="1">
      <c r="A82" s="22" t="n">
        <v>79</v>
      </c>
      <c r="B82" s="23" t="n"/>
      <c r="C82" s="24" t="n"/>
      <c r="D82" s="22" t="n"/>
      <c r="E82" s="24">
        <f>IF(D82="","",VLOOKUP(D82,$N$1:$O$57,2,FALSE))</f>
        <v/>
      </c>
      <c r="F82" s="22" t="n"/>
      <c r="G82" s="25" t="n"/>
      <c r="H82" s="24" t="n"/>
      <c r="I82" s="24">
        <f>IF(OR(C82="",H82=""),"",C82-H82)</f>
        <v/>
      </c>
      <c r="J82" s="26">
        <f>IF(OR(B82="",H82=""),"",B82-IFERROR(INDEX(B$4:B$153,MATCH(1,(D$4:D$153=D82)*(C$4:C$153=H82),0)),B82))</f>
        <v/>
      </c>
      <c r="K82" s="24">
        <f>IF(OR(C82="",E82=""),"",C82+E82)</f>
        <v/>
      </c>
      <c r="L82" s="22" t="n"/>
    </row>
    <row r="83" ht="22" customHeight="1">
      <c r="A83" s="27" t="n">
        <v>80</v>
      </c>
      <c r="B83" s="28" t="n"/>
      <c r="C83" s="29" t="n"/>
      <c r="D83" s="27" t="n"/>
      <c r="E83" s="29">
        <f>IF(D83="","",VLOOKUP(D83,$N$1:$O$57,2,FALSE))</f>
        <v/>
      </c>
      <c r="F83" s="27" t="n"/>
      <c r="G83" s="30" t="n"/>
      <c r="H83" s="29" t="n"/>
      <c r="I83" s="29">
        <f>IF(OR(C83="",H83=""),"",C83-H83)</f>
        <v/>
      </c>
      <c r="J83" s="31">
        <f>IF(OR(B83="",H83=""),"",B83-IFERROR(INDEX(B$4:B$153,MATCH(1,(D$4:D$153=D83)*(C$4:C$153=H83),0)),B83))</f>
        <v/>
      </c>
      <c r="K83" s="29">
        <f>IF(OR(C83="",E83=""),"",C83+E83)</f>
        <v/>
      </c>
      <c r="L83" s="27" t="n"/>
    </row>
    <row r="84" ht="22" customHeight="1">
      <c r="A84" s="22" t="n">
        <v>81</v>
      </c>
      <c r="B84" s="23" t="n"/>
      <c r="C84" s="24" t="n"/>
      <c r="D84" s="22" t="n"/>
      <c r="E84" s="24">
        <f>IF(D84="","",VLOOKUP(D84,$N$1:$O$57,2,FALSE))</f>
        <v/>
      </c>
      <c r="F84" s="22" t="n"/>
      <c r="G84" s="25" t="n"/>
      <c r="H84" s="24" t="n"/>
      <c r="I84" s="24">
        <f>IF(OR(C84="",H84=""),"",C84-H84)</f>
        <v/>
      </c>
      <c r="J84" s="26">
        <f>IF(OR(B84="",H84=""),"",B84-IFERROR(INDEX(B$4:B$153,MATCH(1,(D$4:D$153=D84)*(C$4:C$153=H84),0)),B84))</f>
        <v/>
      </c>
      <c r="K84" s="24">
        <f>IF(OR(C84="",E84=""),"",C84+E84)</f>
        <v/>
      </c>
      <c r="L84" s="22" t="n"/>
    </row>
    <row r="85" ht="22" customHeight="1">
      <c r="A85" s="27" t="n">
        <v>82</v>
      </c>
      <c r="B85" s="28" t="n"/>
      <c r="C85" s="29" t="n"/>
      <c r="D85" s="27" t="n"/>
      <c r="E85" s="29">
        <f>IF(D85="","",VLOOKUP(D85,$N$1:$O$57,2,FALSE))</f>
        <v/>
      </c>
      <c r="F85" s="27" t="n"/>
      <c r="G85" s="30" t="n"/>
      <c r="H85" s="29" t="n"/>
      <c r="I85" s="29">
        <f>IF(OR(C85="",H85=""),"",C85-H85)</f>
        <v/>
      </c>
      <c r="J85" s="31">
        <f>IF(OR(B85="",H85=""),"",B85-IFERROR(INDEX(B$4:B$153,MATCH(1,(D$4:D$153=D85)*(C$4:C$153=H85),0)),B85))</f>
        <v/>
      </c>
      <c r="K85" s="29">
        <f>IF(OR(C85="",E85=""),"",C85+E85)</f>
        <v/>
      </c>
      <c r="L85" s="27" t="n"/>
    </row>
    <row r="86" ht="22" customHeight="1">
      <c r="A86" s="22" t="n">
        <v>83</v>
      </c>
      <c r="B86" s="23" t="n"/>
      <c r="C86" s="24" t="n"/>
      <c r="D86" s="22" t="n"/>
      <c r="E86" s="24">
        <f>IF(D86="","",VLOOKUP(D86,$N$1:$O$57,2,FALSE))</f>
        <v/>
      </c>
      <c r="F86" s="22" t="n"/>
      <c r="G86" s="25" t="n"/>
      <c r="H86" s="24" t="n"/>
      <c r="I86" s="24">
        <f>IF(OR(C86="",H86=""),"",C86-H86)</f>
        <v/>
      </c>
      <c r="J86" s="26">
        <f>IF(OR(B86="",H86=""),"",B86-IFERROR(INDEX(B$4:B$153,MATCH(1,(D$4:D$153=D86)*(C$4:C$153=H86),0)),B86))</f>
        <v/>
      </c>
      <c r="K86" s="24">
        <f>IF(OR(C86="",E86=""),"",C86+E86)</f>
        <v/>
      </c>
      <c r="L86" s="22" t="n"/>
    </row>
    <row r="87" ht="22" customHeight="1">
      <c r="A87" s="27" t="n">
        <v>84</v>
      </c>
      <c r="B87" s="28" t="n"/>
      <c r="C87" s="29" t="n"/>
      <c r="D87" s="27" t="n"/>
      <c r="E87" s="29">
        <f>IF(D87="","",VLOOKUP(D87,$N$1:$O$57,2,FALSE))</f>
        <v/>
      </c>
      <c r="F87" s="27" t="n"/>
      <c r="G87" s="30" t="n"/>
      <c r="H87" s="29" t="n"/>
      <c r="I87" s="29">
        <f>IF(OR(C87="",H87=""),"",C87-H87)</f>
        <v/>
      </c>
      <c r="J87" s="31">
        <f>IF(OR(B87="",H87=""),"",B87-IFERROR(INDEX(B$4:B$153,MATCH(1,(D$4:D$153=D87)*(C$4:C$153=H87),0)),B87))</f>
        <v/>
      </c>
      <c r="K87" s="29">
        <f>IF(OR(C87="",E87=""),"",C87+E87)</f>
        <v/>
      </c>
      <c r="L87" s="27" t="n"/>
    </row>
    <row r="88" ht="22" customHeight="1">
      <c r="A88" s="22" t="n">
        <v>85</v>
      </c>
      <c r="B88" s="23" t="n"/>
      <c r="C88" s="24" t="n"/>
      <c r="D88" s="22" t="n"/>
      <c r="E88" s="24">
        <f>IF(D88="","",VLOOKUP(D88,$N$1:$O$57,2,FALSE))</f>
        <v/>
      </c>
      <c r="F88" s="22" t="n"/>
      <c r="G88" s="25" t="n"/>
      <c r="H88" s="24" t="n"/>
      <c r="I88" s="24">
        <f>IF(OR(C88="",H88=""),"",C88-H88)</f>
        <v/>
      </c>
      <c r="J88" s="26">
        <f>IF(OR(B88="",H88=""),"",B88-IFERROR(INDEX(B$4:B$153,MATCH(1,(D$4:D$153=D88)*(C$4:C$153=H88),0)),B88))</f>
        <v/>
      </c>
      <c r="K88" s="24">
        <f>IF(OR(C88="",E88=""),"",C88+E88)</f>
        <v/>
      </c>
      <c r="L88" s="22" t="n"/>
    </row>
    <row r="89" ht="22" customHeight="1">
      <c r="A89" s="27" t="n">
        <v>86</v>
      </c>
      <c r="B89" s="28" t="n"/>
      <c r="C89" s="29" t="n"/>
      <c r="D89" s="27" t="n"/>
      <c r="E89" s="29">
        <f>IF(D89="","",VLOOKUP(D89,$N$1:$O$57,2,FALSE))</f>
        <v/>
      </c>
      <c r="F89" s="27" t="n"/>
      <c r="G89" s="30" t="n"/>
      <c r="H89" s="29" t="n"/>
      <c r="I89" s="29">
        <f>IF(OR(C89="",H89=""),"",C89-H89)</f>
        <v/>
      </c>
      <c r="J89" s="31">
        <f>IF(OR(B89="",H89=""),"",B89-IFERROR(INDEX(B$4:B$153,MATCH(1,(D$4:D$153=D89)*(C$4:C$153=H89),0)),B89))</f>
        <v/>
      </c>
      <c r="K89" s="29">
        <f>IF(OR(C89="",E89=""),"",C89+E89)</f>
        <v/>
      </c>
      <c r="L89" s="27" t="n"/>
    </row>
    <row r="90" ht="22" customHeight="1">
      <c r="A90" s="22" t="n">
        <v>87</v>
      </c>
      <c r="B90" s="23" t="n"/>
      <c r="C90" s="24" t="n"/>
      <c r="D90" s="22" t="n"/>
      <c r="E90" s="24">
        <f>IF(D90="","",VLOOKUP(D90,$N$1:$O$57,2,FALSE))</f>
        <v/>
      </c>
      <c r="F90" s="22" t="n"/>
      <c r="G90" s="25" t="n"/>
      <c r="H90" s="24" t="n"/>
      <c r="I90" s="24">
        <f>IF(OR(C90="",H90=""),"",C90-H90)</f>
        <v/>
      </c>
      <c r="J90" s="26">
        <f>IF(OR(B90="",H90=""),"",B90-IFERROR(INDEX(B$4:B$153,MATCH(1,(D$4:D$153=D90)*(C$4:C$153=H90),0)),B90))</f>
        <v/>
      </c>
      <c r="K90" s="24">
        <f>IF(OR(C90="",E90=""),"",C90+E90)</f>
        <v/>
      </c>
      <c r="L90" s="22" t="n"/>
    </row>
    <row r="91" ht="22" customHeight="1">
      <c r="A91" s="27" t="n">
        <v>88</v>
      </c>
      <c r="B91" s="28" t="n"/>
      <c r="C91" s="29" t="n"/>
      <c r="D91" s="27" t="n"/>
      <c r="E91" s="29">
        <f>IF(D91="","",VLOOKUP(D91,$N$1:$O$57,2,FALSE))</f>
        <v/>
      </c>
      <c r="F91" s="27" t="n"/>
      <c r="G91" s="30" t="n"/>
      <c r="H91" s="29" t="n"/>
      <c r="I91" s="29">
        <f>IF(OR(C91="",H91=""),"",C91-H91)</f>
        <v/>
      </c>
      <c r="J91" s="31">
        <f>IF(OR(B91="",H91=""),"",B91-IFERROR(INDEX(B$4:B$153,MATCH(1,(D$4:D$153=D91)*(C$4:C$153=H91),0)),B91))</f>
        <v/>
      </c>
      <c r="K91" s="29">
        <f>IF(OR(C91="",E91=""),"",C91+E91)</f>
        <v/>
      </c>
      <c r="L91" s="27" t="n"/>
    </row>
    <row r="92" ht="22" customHeight="1">
      <c r="A92" s="22" t="n">
        <v>89</v>
      </c>
      <c r="B92" s="23" t="n"/>
      <c r="C92" s="24" t="n"/>
      <c r="D92" s="22" t="n"/>
      <c r="E92" s="24">
        <f>IF(D92="","",VLOOKUP(D92,$N$1:$O$57,2,FALSE))</f>
        <v/>
      </c>
      <c r="F92" s="22" t="n"/>
      <c r="G92" s="25" t="n"/>
      <c r="H92" s="24" t="n"/>
      <c r="I92" s="24">
        <f>IF(OR(C92="",H92=""),"",C92-H92)</f>
        <v/>
      </c>
      <c r="J92" s="26">
        <f>IF(OR(B92="",H92=""),"",B92-IFERROR(INDEX(B$4:B$153,MATCH(1,(D$4:D$153=D92)*(C$4:C$153=H92),0)),B92))</f>
        <v/>
      </c>
      <c r="K92" s="24">
        <f>IF(OR(C92="",E92=""),"",C92+E92)</f>
        <v/>
      </c>
      <c r="L92" s="22" t="n"/>
    </row>
    <row r="93" ht="22" customHeight="1">
      <c r="A93" s="27" t="n">
        <v>90</v>
      </c>
      <c r="B93" s="28" t="n"/>
      <c r="C93" s="29" t="n"/>
      <c r="D93" s="27" t="n"/>
      <c r="E93" s="29">
        <f>IF(D93="","",VLOOKUP(D93,$N$1:$O$57,2,FALSE))</f>
        <v/>
      </c>
      <c r="F93" s="27" t="n"/>
      <c r="G93" s="30" t="n"/>
      <c r="H93" s="29" t="n"/>
      <c r="I93" s="29">
        <f>IF(OR(C93="",H93=""),"",C93-H93)</f>
        <v/>
      </c>
      <c r="J93" s="31">
        <f>IF(OR(B93="",H93=""),"",B93-IFERROR(INDEX(B$4:B$153,MATCH(1,(D$4:D$153=D93)*(C$4:C$153=H93),0)),B93))</f>
        <v/>
      </c>
      <c r="K93" s="29">
        <f>IF(OR(C93="",E93=""),"",C93+E93)</f>
        <v/>
      </c>
      <c r="L93" s="27" t="n"/>
    </row>
    <row r="94" ht="22" customHeight="1">
      <c r="A94" s="22" t="n">
        <v>91</v>
      </c>
      <c r="B94" s="23" t="n"/>
      <c r="C94" s="24" t="n"/>
      <c r="D94" s="22" t="n"/>
      <c r="E94" s="24">
        <f>IF(D94="","",VLOOKUP(D94,$N$1:$O$57,2,FALSE))</f>
        <v/>
      </c>
      <c r="F94" s="22" t="n"/>
      <c r="G94" s="25" t="n"/>
      <c r="H94" s="24" t="n"/>
      <c r="I94" s="24">
        <f>IF(OR(C94="",H94=""),"",C94-H94)</f>
        <v/>
      </c>
      <c r="J94" s="26">
        <f>IF(OR(B94="",H94=""),"",B94-IFERROR(INDEX(B$4:B$153,MATCH(1,(D$4:D$153=D94)*(C$4:C$153=H94),0)),B94))</f>
        <v/>
      </c>
      <c r="K94" s="24">
        <f>IF(OR(C94="",E94=""),"",C94+E94)</f>
        <v/>
      </c>
      <c r="L94" s="22" t="n"/>
    </row>
    <row r="95" ht="22" customHeight="1">
      <c r="A95" s="27" t="n">
        <v>92</v>
      </c>
      <c r="B95" s="28" t="n"/>
      <c r="C95" s="29" t="n"/>
      <c r="D95" s="27" t="n"/>
      <c r="E95" s="29">
        <f>IF(D95="","",VLOOKUP(D95,$N$1:$O$57,2,FALSE))</f>
        <v/>
      </c>
      <c r="F95" s="27" t="n"/>
      <c r="G95" s="30" t="n"/>
      <c r="H95" s="29" t="n"/>
      <c r="I95" s="29">
        <f>IF(OR(C95="",H95=""),"",C95-H95)</f>
        <v/>
      </c>
      <c r="J95" s="31">
        <f>IF(OR(B95="",H95=""),"",B95-IFERROR(INDEX(B$4:B$153,MATCH(1,(D$4:D$153=D95)*(C$4:C$153=H95),0)),B95))</f>
        <v/>
      </c>
      <c r="K95" s="29">
        <f>IF(OR(C95="",E95=""),"",C95+E95)</f>
        <v/>
      </c>
      <c r="L95" s="27" t="n"/>
    </row>
    <row r="96" ht="22" customHeight="1">
      <c r="A96" s="22" t="n">
        <v>93</v>
      </c>
      <c r="B96" s="23" t="n"/>
      <c r="C96" s="24" t="n"/>
      <c r="D96" s="22" t="n"/>
      <c r="E96" s="24">
        <f>IF(D96="","",VLOOKUP(D96,$N$1:$O$57,2,FALSE))</f>
        <v/>
      </c>
      <c r="F96" s="22" t="n"/>
      <c r="G96" s="25" t="n"/>
      <c r="H96" s="24" t="n"/>
      <c r="I96" s="24">
        <f>IF(OR(C96="",H96=""),"",C96-H96)</f>
        <v/>
      </c>
      <c r="J96" s="26">
        <f>IF(OR(B96="",H96=""),"",B96-IFERROR(INDEX(B$4:B$153,MATCH(1,(D$4:D$153=D96)*(C$4:C$153=H96),0)),B96))</f>
        <v/>
      </c>
      <c r="K96" s="24">
        <f>IF(OR(C96="",E96=""),"",C96+E96)</f>
        <v/>
      </c>
      <c r="L96" s="22" t="n"/>
    </row>
    <row r="97" ht="22" customHeight="1">
      <c r="A97" s="27" t="n">
        <v>94</v>
      </c>
      <c r="B97" s="28" t="n"/>
      <c r="C97" s="29" t="n"/>
      <c r="D97" s="27" t="n"/>
      <c r="E97" s="29">
        <f>IF(D97="","",VLOOKUP(D97,$N$1:$O$57,2,FALSE))</f>
        <v/>
      </c>
      <c r="F97" s="27" t="n"/>
      <c r="G97" s="30" t="n"/>
      <c r="H97" s="29" t="n"/>
      <c r="I97" s="29">
        <f>IF(OR(C97="",H97=""),"",C97-H97)</f>
        <v/>
      </c>
      <c r="J97" s="31">
        <f>IF(OR(B97="",H97=""),"",B97-IFERROR(INDEX(B$4:B$153,MATCH(1,(D$4:D$153=D97)*(C$4:C$153=H97),0)),B97))</f>
        <v/>
      </c>
      <c r="K97" s="29">
        <f>IF(OR(C97="",E97=""),"",C97+E97)</f>
        <v/>
      </c>
      <c r="L97" s="27" t="n"/>
    </row>
    <row r="98" ht="22" customHeight="1">
      <c r="A98" s="22" t="n">
        <v>95</v>
      </c>
      <c r="B98" s="23" t="n"/>
      <c r="C98" s="24" t="n"/>
      <c r="D98" s="22" t="n"/>
      <c r="E98" s="24">
        <f>IF(D98="","",VLOOKUP(D98,$N$1:$O$57,2,FALSE))</f>
        <v/>
      </c>
      <c r="F98" s="22" t="n"/>
      <c r="G98" s="25" t="n"/>
      <c r="H98" s="24" t="n"/>
      <c r="I98" s="24">
        <f>IF(OR(C98="",H98=""),"",C98-H98)</f>
        <v/>
      </c>
      <c r="J98" s="26">
        <f>IF(OR(B98="",H98=""),"",B98-IFERROR(INDEX(B$4:B$153,MATCH(1,(D$4:D$153=D98)*(C$4:C$153=H98),0)),B98))</f>
        <v/>
      </c>
      <c r="K98" s="24">
        <f>IF(OR(C98="",E98=""),"",C98+E98)</f>
        <v/>
      </c>
      <c r="L98" s="22" t="n"/>
    </row>
    <row r="99" ht="22" customHeight="1">
      <c r="A99" s="27" t="n">
        <v>96</v>
      </c>
      <c r="B99" s="28" t="n"/>
      <c r="C99" s="29" t="n"/>
      <c r="D99" s="27" t="n"/>
      <c r="E99" s="29">
        <f>IF(D99="","",VLOOKUP(D99,$N$1:$O$57,2,FALSE))</f>
        <v/>
      </c>
      <c r="F99" s="27" t="n"/>
      <c r="G99" s="30" t="n"/>
      <c r="H99" s="29" t="n"/>
      <c r="I99" s="29">
        <f>IF(OR(C99="",H99=""),"",C99-H99)</f>
        <v/>
      </c>
      <c r="J99" s="31">
        <f>IF(OR(B99="",H99=""),"",B99-IFERROR(INDEX(B$4:B$153,MATCH(1,(D$4:D$153=D99)*(C$4:C$153=H99),0)),B99))</f>
        <v/>
      </c>
      <c r="K99" s="29">
        <f>IF(OR(C99="",E99=""),"",C99+E99)</f>
        <v/>
      </c>
      <c r="L99" s="27" t="n"/>
    </row>
    <row r="100" ht="22" customHeight="1">
      <c r="A100" s="22" t="n">
        <v>97</v>
      </c>
      <c r="B100" s="23" t="n"/>
      <c r="C100" s="24" t="n"/>
      <c r="D100" s="22" t="n"/>
      <c r="E100" s="24">
        <f>IF(D100="","",VLOOKUP(D100,$N$1:$O$57,2,FALSE))</f>
        <v/>
      </c>
      <c r="F100" s="22" t="n"/>
      <c r="G100" s="25" t="n"/>
      <c r="H100" s="24" t="n"/>
      <c r="I100" s="24">
        <f>IF(OR(C100="",H100=""),"",C100-H100)</f>
        <v/>
      </c>
      <c r="J100" s="26">
        <f>IF(OR(B100="",H100=""),"",B100-IFERROR(INDEX(B$4:B$153,MATCH(1,(D$4:D$153=D100)*(C$4:C$153=H100),0)),B100))</f>
        <v/>
      </c>
      <c r="K100" s="24">
        <f>IF(OR(C100="",E100=""),"",C100+E100)</f>
        <v/>
      </c>
      <c r="L100" s="22" t="n"/>
    </row>
    <row r="101" ht="22" customHeight="1">
      <c r="A101" s="27" t="n">
        <v>98</v>
      </c>
      <c r="B101" s="28" t="n"/>
      <c r="C101" s="29" t="n"/>
      <c r="D101" s="27" t="n"/>
      <c r="E101" s="29">
        <f>IF(D101="","",VLOOKUP(D101,$N$1:$O$57,2,FALSE))</f>
        <v/>
      </c>
      <c r="F101" s="27" t="n"/>
      <c r="G101" s="30" t="n"/>
      <c r="H101" s="29" t="n"/>
      <c r="I101" s="29">
        <f>IF(OR(C101="",H101=""),"",C101-H101)</f>
        <v/>
      </c>
      <c r="J101" s="31">
        <f>IF(OR(B101="",H101=""),"",B101-IFERROR(INDEX(B$4:B$153,MATCH(1,(D$4:D$153=D101)*(C$4:C$153=H101),0)),B101))</f>
        <v/>
      </c>
      <c r="K101" s="29">
        <f>IF(OR(C101="",E101=""),"",C101+E101)</f>
        <v/>
      </c>
      <c r="L101" s="27" t="n"/>
    </row>
    <row r="102" ht="22" customHeight="1">
      <c r="A102" s="22" t="n">
        <v>99</v>
      </c>
      <c r="B102" s="23" t="n"/>
      <c r="C102" s="24" t="n"/>
      <c r="D102" s="22" t="n"/>
      <c r="E102" s="24">
        <f>IF(D102="","",VLOOKUP(D102,$N$1:$O$57,2,FALSE))</f>
        <v/>
      </c>
      <c r="F102" s="22" t="n"/>
      <c r="G102" s="25" t="n"/>
      <c r="H102" s="24" t="n"/>
      <c r="I102" s="24">
        <f>IF(OR(C102="",H102=""),"",C102-H102)</f>
        <v/>
      </c>
      <c r="J102" s="26">
        <f>IF(OR(B102="",H102=""),"",B102-IFERROR(INDEX(B$4:B$153,MATCH(1,(D$4:D$153=D102)*(C$4:C$153=H102),0)),B102))</f>
        <v/>
      </c>
      <c r="K102" s="24">
        <f>IF(OR(C102="",E102=""),"",C102+E102)</f>
        <v/>
      </c>
      <c r="L102" s="22" t="n"/>
    </row>
    <row r="103" ht="22" customHeight="1">
      <c r="A103" s="27" t="n">
        <v>100</v>
      </c>
      <c r="B103" s="28" t="n"/>
      <c r="C103" s="29" t="n"/>
      <c r="D103" s="27" t="n"/>
      <c r="E103" s="29">
        <f>IF(D103="","",VLOOKUP(D103,$N$1:$O$57,2,FALSE))</f>
        <v/>
      </c>
      <c r="F103" s="27" t="n"/>
      <c r="G103" s="30" t="n"/>
      <c r="H103" s="29" t="n"/>
      <c r="I103" s="29">
        <f>IF(OR(C103="",H103=""),"",C103-H103)</f>
        <v/>
      </c>
      <c r="J103" s="31">
        <f>IF(OR(B103="",H103=""),"",B103-IFERROR(INDEX(B$4:B$153,MATCH(1,(D$4:D$153=D103)*(C$4:C$153=H103),0)),B103))</f>
        <v/>
      </c>
      <c r="K103" s="29">
        <f>IF(OR(C103="",E103=""),"",C103+E103)</f>
        <v/>
      </c>
      <c r="L103" s="27" t="n"/>
    </row>
    <row r="104" ht="22" customHeight="1">
      <c r="A104" s="22" t="n">
        <v>101</v>
      </c>
      <c r="B104" s="23" t="n"/>
      <c r="C104" s="24" t="n"/>
      <c r="D104" s="22" t="n"/>
      <c r="E104" s="24">
        <f>IF(D104="","",VLOOKUP(D104,$N$1:$O$57,2,FALSE))</f>
        <v/>
      </c>
      <c r="F104" s="22" t="n"/>
      <c r="G104" s="25" t="n"/>
      <c r="H104" s="24" t="n"/>
      <c r="I104" s="24">
        <f>IF(OR(C104="",H104=""),"",C104-H104)</f>
        <v/>
      </c>
      <c r="J104" s="26">
        <f>IF(OR(B104="",H104=""),"",B104-IFERROR(INDEX(B$4:B$153,MATCH(1,(D$4:D$153=D104)*(C$4:C$153=H104),0)),B104))</f>
        <v/>
      </c>
      <c r="K104" s="24">
        <f>IF(OR(C104="",E104=""),"",C104+E104)</f>
        <v/>
      </c>
      <c r="L104" s="22" t="n"/>
    </row>
    <row r="105" ht="22" customHeight="1">
      <c r="A105" s="27" t="n">
        <v>102</v>
      </c>
      <c r="B105" s="28" t="n"/>
      <c r="C105" s="29" t="n"/>
      <c r="D105" s="27" t="n"/>
      <c r="E105" s="29">
        <f>IF(D105="","",VLOOKUP(D105,$N$1:$O$57,2,FALSE))</f>
        <v/>
      </c>
      <c r="F105" s="27" t="n"/>
      <c r="G105" s="30" t="n"/>
      <c r="H105" s="29" t="n"/>
      <c r="I105" s="29">
        <f>IF(OR(C105="",H105=""),"",C105-H105)</f>
        <v/>
      </c>
      <c r="J105" s="31">
        <f>IF(OR(B105="",H105=""),"",B105-IFERROR(INDEX(B$4:B$153,MATCH(1,(D$4:D$153=D105)*(C$4:C$153=H105),0)),B105))</f>
        <v/>
      </c>
      <c r="K105" s="29">
        <f>IF(OR(C105="",E105=""),"",C105+E105)</f>
        <v/>
      </c>
      <c r="L105" s="27" t="n"/>
    </row>
    <row r="106" ht="22" customHeight="1">
      <c r="A106" s="22" t="n">
        <v>103</v>
      </c>
      <c r="B106" s="23" t="n"/>
      <c r="C106" s="24" t="n"/>
      <c r="D106" s="22" t="n"/>
      <c r="E106" s="24">
        <f>IF(D106="","",VLOOKUP(D106,$N$1:$O$57,2,FALSE))</f>
        <v/>
      </c>
      <c r="F106" s="22" t="n"/>
      <c r="G106" s="25" t="n"/>
      <c r="H106" s="24" t="n"/>
      <c r="I106" s="24">
        <f>IF(OR(C106="",H106=""),"",C106-H106)</f>
        <v/>
      </c>
      <c r="J106" s="26">
        <f>IF(OR(B106="",H106=""),"",B106-IFERROR(INDEX(B$4:B$153,MATCH(1,(D$4:D$153=D106)*(C$4:C$153=H106),0)),B106))</f>
        <v/>
      </c>
      <c r="K106" s="24">
        <f>IF(OR(C106="",E106=""),"",C106+E106)</f>
        <v/>
      </c>
      <c r="L106" s="22" t="n"/>
    </row>
    <row r="107" ht="22" customHeight="1">
      <c r="A107" s="27" t="n">
        <v>104</v>
      </c>
      <c r="B107" s="28" t="n"/>
      <c r="C107" s="29" t="n"/>
      <c r="D107" s="27" t="n"/>
      <c r="E107" s="29">
        <f>IF(D107="","",VLOOKUP(D107,$N$1:$O$57,2,FALSE))</f>
        <v/>
      </c>
      <c r="F107" s="27" t="n"/>
      <c r="G107" s="30" t="n"/>
      <c r="H107" s="29" t="n"/>
      <c r="I107" s="29">
        <f>IF(OR(C107="",H107=""),"",C107-H107)</f>
        <v/>
      </c>
      <c r="J107" s="31">
        <f>IF(OR(B107="",H107=""),"",B107-IFERROR(INDEX(B$4:B$153,MATCH(1,(D$4:D$153=D107)*(C$4:C$153=H107),0)),B107))</f>
        <v/>
      </c>
      <c r="K107" s="29">
        <f>IF(OR(C107="",E107=""),"",C107+E107)</f>
        <v/>
      </c>
      <c r="L107" s="27" t="n"/>
    </row>
    <row r="108" ht="22" customHeight="1">
      <c r="A108" s="22" t="n">
        <v>105</v>
      </c>
      <c r="B108" s="23" t="n"/>
      <c r="C108" s="24" t="n"/>
      <c r="D108" s="22" t="n"/>
      <c r="E108" s="24">
        <f>IF(D108="","",VLOOKUP(D108,$N$1:$O$57,2,FALSE))</f>
        <v/>
      </c>
      <c r="F108" s="22" t="n"/>
      <c r="G108" s="25" t="n"/>
      <c r="H108" s="24" t="n"/>
      <c r="I108" s="24">
        <f>IF(OR(C108="",H108=""),"",C108-H108)</f>
        <v/>
      </c>
      <c r="J108" s="26">
        <f>IF(OR(B108="",H108=""),"",B108-IFERROR(INDEX(B$4:B$153,MATCH(1,(D$4:D$153=D108)*(C$4:C$153=H108),0)),B108))</f>
        <v/>
      </c>
      <c r="K108" s="24">
        <f>IF(OR(C108="",E108=""),"",C108+E108)</f>
        <v/>
      </c>
      <c r="L108" s="22" t="n"/>
    </row>
    <row r="109" ht="22" customHeight="1">
      <c r="A109" s="27" t="n">
        <v>106</v>
      </c>
      <c r="B109" s="28" t="n"/>
      <c r="C109" s="29" t="n"/>
      <c r="D109" s="27" t="n"/>
      <c r="E109" s="29">
        <f>IF(D109="","",VLOOKUP(D109,$N$1:$O$57,2,FALSE))</f>
        <v/>
      </c>
      <c r="F109" s="27" t="n"/>
      <c r="G109" s="30" t="n"/>
      <c r="H109" s="29" t="n"/>
      <c r="I109" s="29">
        <f>IF(OR(C109="",H109=""),"",C109-H109)</f>
        <v/>
      </c>
      <c r="J109" s="31">
        <f>IF(OR(B109="",H109=""),"",B109-IFERROR(INDEX(B$4:B$153,MATCH(1,(D$4:D$153=D109)*(C$4:C$153=H109),0)),B109))</f>
        <v/>
      </c>
      <c r="K109" s="29">
        <f>IF(OR(C109="",E109=""),"",C109+E109)</f>
        <v/>
      </c>
      <c r="L109" s="27" t="n"/>
    </row>
    <row r="110" ht="22" customHeight="1">
      <c r="A110" s="22" t="n">
        <v>107</v>
      </c>
      <c r="B110" s="23" t="n"/>
      <c r="C110" s="24" t="n"/>
      <c r="D110" s="22" t="n"/>
      <c r="E110" s="24">
        <f>IF(D110="","",VLOOKUP(D110,$N$1:$O$57,2,FALSE))</f>
        <v/>
      </c>
      <c r="F110" s="22" t="n"/>
      <c r="G110" s="25" t="n"/>
      <c r="H110" s="24" t="n"/>
      <c r="I110" s="24">
        <f>IF(OR(C110="",H110=""),"",C110-H110)</f>
        <v/>
      </c>
      <c r="J110" s="26">
        <f>IF(OR(B110="",H110=""),"",B110-IFERROR(INDEX(B$4:B$153,MATCH(1,(D$4:D$153=D110)*(C$4:C$153=H110),0)),B110))</f>
        <v/>
      </c>
      <c r="K110" s="24">
        <f>IF(OR(C110="",E110=""),"",C110+E110)</f>
        <v/>
      </c>
      <c r="L110" s="22" t="n"/>
    </row>
    <row r="111" ht="22" customHeight="1">
      <c r="A111" s="27" t="n">
        <v>108</v>
      </c>
      <c r="B111" s="28" t="n"/>
      <c r="C111" s="29" t="n"/>
      <c r="D111" s="27" t="n"/>
      <c r="E111" s="29">
        <f>IF(D111="","",VLOOKUP(D111,$N$1:$O$57,2,FALSE))</f>
        <v/>
      </c>
      <c r="F111" s="27" t="n"/>
      <c r="G111" s="30" t="n"/>
      <c r="H111" s="29" t="n"/>
      <c r="I111" s="29">
        <f>IF(OR(C111="",H111=""),"",C111-H111)</f>
        <v/>
      </c>
      <c r="J111" s="31">
        <f>IF(OR(B111="",H111=""),"",B111-IFERROR(INDEX(B$4:B$153,MATCH(1,(D$4:D$153=D111)*(C$4:C$153=H111),0)),B111))</f>
        <v/>
      </c>
      <c r="K111" s="29">
        <f>IF(OR(C111="",E111=""),"",C111+E111)</f>
        <v/>
      </c>
      <c r="L111" s="27" t="n"/>
    </row>
    <row r="112" ht="22" customHeight="1">
      <c r="A112" s="22" t="n">
        <v>109</v>
      </c>
      <c r="B112" s="23" t="n"/>
      <c r="C112" s="24" t="n"/>
      <c r="D112" s="22" t="n"/>
      <c r="E112" s="24">
        <f>IF(D112="","",VLOOKUP(D112,$N$1:$O$57,2,FALSE))</f>
        <v/>
      </c>
      <c r="F112" s="22" t="n"/>
      <c r="G112" s="25" t="n"/>
      <c r="H112" s="24" t="n"/>
      <c r="I112" s="24">
        <f>IF(OR(C112="",H112=""),"",C112-H112)</f>
        <v/>
      </c>
      <c r="J112" s="26">
        <f>IF(OR(B112="",H112=""),"",B112-IFERROR(INDEX(B$4:B$153,MATCH(1,(D$4:D$153=D112)*(C$4:C$153=H112),0)),B112))</f>
        <v/>
      </c>
      <c r="K112" s="24">
        <f>IF(OR(C112="",E112=""),"",C112+E112)</f>
        <v/>
      </c>
      <c r="L112" s="22" t="n"/>
    </row>
    <row r="113" ht="22" customHeight="1">
      <c r="A113" s="27" t="n">
        <v>110</v>
      </c>
      <c r="B113" s="28" t="n"/>
      <c r="C113" s="29" t="n"/>
      <c r="D113" s="27" t="n"/>
      <c r="E113" s="29">
        <f>IF(D113="","",VLOOKUP(D113,$N$1:$O$57,2,FALSE))</f>
        <v/>
      </c>
      <c r="F113" s="27" t="n"/>
      <c r="G113" s="30" t="n"/>
      <c r="H113" s="29" t="n"/>
      <c r="I113" s="29">
        <f>IF(OR(C113="",H113=""),"",C113-H113)</f>
        <v/>
      </c>
      <c r="J113" s="31">
        <f>IF(OR(B113="",H113=""),"",B113-IFERROR(INDEX(B$4:B$153,MATCH(1,(D$4:D$153=D113)*(C$4:C$153=H113),0)),B113))</f>
        <v/>
      </c>
      <c r="K113" s="29">
        <f>IF(OR(C113="",E113=""),"",C113+E113)</f>
        <v/>
      </c>
      <c r="L113" s="27" t="n"/>
    </row>
    <row r="114" ht="22" customHeight="1">
      <c r="A114" s="22" t="n">
        <v>111</v>
      </c>
      <c r="B114" s="23" t="n"/>
      <c r="C114" s="24" t="n"/>
      <c r="D114" s="22" t="n"/>
      <c r="E114" s="24">
        <f>IF(D114="","",VLOOKUP(D114,$N$1:$O$57,2,FALSE))</f>
        <v/>
      </c>
      <c r="F114" s="22" t="n"/>
      <c r="G114" s="25" t="n"/>
      <c r="H114" s="24" t="n"/>
      <c r="I114" s="24">
        <f>IF(OR(C114="",H114=""),"",C114-H114)</f>
        <v/>
      </c>
      <c r="J114" s="26">
        <f>IF(OR(B114="",H114=""),"",B114-IFERROR(INDEX(B$4:B$153,MATCH(1,(D$4:D$153=D114)*(C$4:C$153=H114),0)),B114))</f>
        <v/>
      </c>
      <c r="K114" s="24">
        <f>IF(OR(C114="",E114=""),"",C114+E114)</f>
        <v/>
      </c>
      <c r="L114" s="22" t="n"/>
    </row>
    <row r="115" ht="22" customHeight="1">
      <c r="A115" s="27" t="n">
        <v>112</v>
      </c>
      <c r="B115" s="28" t="n"/>
      <c r="C115" s="29" t="n"/>
      <c r="D115" s="27" t="n"/>
      <c r="E115" s="29">
        <f>IF(D115="","",VLOOKUP(D115,$N$1:$O$57,2,FALSE))</f>
        <v/>
      </c>
      <c r="F115" s="27" t="n"/>
      <c r="G115" s="30" t="n"/>
      <c r="H115" s="29" t="n"/>
      <c r="I115" s="29">
        <f>IF(OR(C115="",H115=""),"",C115-H115)</f>
        <v/>
      </c>
      <c r="J115" s="31">
        <f>IF(OR(B115="",H115=""),"",B115-IFERROR(INDEX(B$4:B$153,MATCH(1,(D$4:D$153=D115)*(C$4:C$153=H115),0)),B115))</f>
        <v/>
      </c>
      <c r="K115" s="29">
        <f>IF(OR(C115="",E115=""),"",C115+E115)</f>
        <v/>
      </c>
      <c r="L115" s="27" t="n"/>
    </row>
    <row r="116" ht="22" customHeight="1">
      <c r="A116" s="22" t="n">
        <v>113</v>
      </c>
      <c r="B116" s="23" t="n"/>
      <c r="C116" s="24" t="n"/>
      <c r="D116" s="22" t="n"/>
      <c r="E116" s="24">
        <f>IF(D116="","",VLOOKUP(D116,$N$1:$O$57,2,FALSE))</f>
        <v/>
      </c>
      <c r="F116" s="22" t="n"/>
      <c r="G116" s="25" t="n"/>
      <c r="H116" s="24" t="n"/>
      <c r="I116" s="24">
        <f>IF(OR(C116="",H116=""),"",C116-H116)</f>
        <v/>
      </c>
      <c r="J116" s="26">
        <f>IF(OR(B116="",H116=""),"",B116-IFERROR(INDEX(B$4:B$153,MATCH(1,(D$4:D$153=D116)*(C$4:C$153=H116),0)),B116))</f>
        <v/>
      </c>
      <c r="K116" s="24">
        <f>IF(OR(C116="",E116=""),"",C116+E116)</f>
        <v/>
      </c>
      <c r="L116" s="22" t="n"/>
    </row>
    <row r="117" ht="22" customHeight="1">
      <c r="A117" s="27" t="n">
        <v>114</v>
      </c>
      <c r="B117" s="28" t="n"/>
      <c r="C117" s="29" t="n"/>
      <c r="D117" s="27" t="n"/>
      <c r="E117" s="29">
        <f>IF(D117="","",VLOOKUP(D117,$N$1:$O$57,2,FALSE))</f>
        <v/>
      </c>
      <c r="F117" s="27" t="n"/>
      <c r="G117" s="30" t="n"/>
      <c r="H117" s="29" t="n"/>
      <c r="I117" s="29">
        <f>IF(OR(C117="",H117=""),"",C117-H117)</f>
        <v/>
      </c>
      <c r="J117" s="31">
        <f>IF(OR(B117="",H117=""),"",B117-IFERROR(INDEX(B$4:B$153,MATCH(1,(D$4:D$153=D117)*(C$4:C$153=H117),0)),B117))</f>
        <v/>
      </c>
      <c r="K117" s="29">
        <f>IF(OR(C117="",E117=""),"",C117+E117)</f>
        <v/>
      </c>
      <c r="L117" s="27" t="n"/>
    </row>
    <row r="118" ht="22" customHeight="1">
      <c r="A118" s="22" t="n">
        <v>115</v>
      </c>
      <c r="B118" s="23" t="n"/>
      <c r="C118" s="24" t="n"/>
      <c r="D118" s="22" t="n"/>
      <c r="E118" s="24">
        <f>IF(D118="","",VLOOKUP(D118,$N$1:$O$57,2,FALSE))</f>
        <v/>
      </c>
      <c r="F118" s="22" t="n"/>
      <c r="G118" s="25" t="n"/>
      <c r="H118" s="24" t="n"/>
      <c r="I118" s="24">
        <f>IF(OR(C118="",H118=""),"",C118-H118)</f>
        <v/>
      </c>
      <c r="J118" s="26">
        <f>IF(OR(B118="",H118=""),"",B118-IFERROR(INDEX(B$4:B$153,MATCH(1,(D$4:D$153=D118)*(C$4:C$153=H118),0)),B118))</f>
        <v/>
      </c>
      <c r="K118" s="24">
        <f>IF(OR(C118="",E118=""),"",C118+E118)</f>
        <v/>
      </c>
      <c r="L118" s="22" t="n"/>
    </row>
    <row r="119" ht="22" customHeight="1">
      <c r="A119" s="27" t="n">
        <v>116</v>
      </c>
      <c r="B119" s="28" t="n"/>
      <c r="C119" s="29" t="n"/>
      <c r="D119" s="27" t="n"/>
      <c r="E119" s="29">
        <f>IF(D119="","",VLOOKUP(D119,$N$1:$O$57,2,FALSE))</f>
        <v/>
      </c>
      <c r="F119" s="27" t="n"/>
      <c r="G119" s="30" t="n"/>
      <c r="H119" s="29" t="n"/>
      <c r="I119" s="29">
        <f>IF(OR(C119="",H119=""),"",C119-H119)</f>
        <v/>
      </c>
      <c r="J119" s="31">
        <f>IF(OR(B119="",H119=""),"",B119-IFERROR(INDEX(B$4:B$153,MATCH(1,(D$4:D$153=D119)*(C$4:C$153=H119),0)),B119))</f>
        <v/>
      </c>
      <c r="K119" s="29">
        <f>IF(OR(C119="",E119=""),"",C119+E119)</f>
        <v/>
      </c>
      <c r="L119" s="27" t="n"/>
    </row>
    <row r="120" ht="22" customHeight="1">
      <c r="A120" s="22" t="n">
        <v>117</v>
      </c>
      <c r="B120" s="23" t="n"/>
      <c r="C120" s="24" t="n"/>
      <c r="D120" s="22" t="n"/>
      <c r="E120" s="24">
        <f>IF(D120="","",VLOOKUP(D120,$N$1:$O$57,2,FALSE))</f>
        <v/>
      </c>
      <c r="F120" s="22" t="n"/>
      <c r="G120" s="25" t="n"/>
      <c r="H120" s="24" t="n"/>
      <c r="I120" s="24">
        <f>IF(OR(C120="",H120=""),"",C120-H120)</f>
        <v/>
      </c>
      <c r="J120" s="26">
        <f>IF(OR(B120="",H120=""),"",B120-IFERROR(INDEX(B$4:B$153,MATCH(1,(D$4:D$153=D120)*(C$4:C$153=H120),0)),B120))</f>
        <v/>
      </c>
      <c r="K120" s="24">
        <f>IF(OR(C120="",E120=""),"",C120+E120)</f>
        <v/>
      </c>
      <c r="L120" s="22" t="n"/>
    </row>
    <row r="121" ht="22" customHeight="1">
      <c r="A121" s="27" t="n">
        <v>118</v>
      </c>
      <c r="B121" s="28" t="n"/>
      <c r="C121" s="29" t="n"/>
      <c r="D121" s="27" t="n"/>
      <c r="E121" s="29">
        <f>IF(D121="","",VLOOKUP(D121,$N$1:$O$57,2,FALSE))</f>
        <v/>
      </c>
      <c r="F121" s="27" t="n"/>
      <c r="G121" s="30" t="n"/>
      <c r="H121" s="29" t="n"/>
      <c r="I121" s="29">
        <f>IF(OR(C121="",H121=""),"",C121-H121)</f>
        <v/>
      </c>
      <c r="J121" s="31">
        <f>IF(OR(B121="",H121=""),"",B121-IFERROR(INDEX(B$4:B$153,MATCH(1,(D$4:D$153=D121)*(C$4:C$153=H121),0)),B121))</f>
        <v/>
      </c>
      <c r="K121" s="29">
        <f>IF(OR(C121="",E121=""),"",C121+E121)</f>
        <v/>
      </c>
      <c r="L121" s="27" t="n"/>
    </row>
    <row r="122" ht="22" customHeight="1">
      <c r="A122" s="22" t="n">
        <v>119</v>
      </c>
      <c r="B122" s="23" t="n"/>
      <c r="C122" s="24" t="n"/>
      <c r="D122" s="22" t="n"/>
      <c r="E122" s="24">
        <f>IF(D122="","",VLOOKUP(D122,$N$1:$O$57,2,FALSE))</f>
        <v/>
      </c>
      <c r="F122" s="22" t="n"/>
      <c r="G122" s="25" t="n"/>
      <c r="H122" s="24" t="n"/>
      <c r="I122" s="24">
        <f>IF(OR(C122="",H122=""),"",C122-H122)</f>
        <v/>
      </c>
      <c r="J122" s="26">
        <f>IF(OR(B122="",H122=""),"",B122-IFERROR(INDEX(B$4:B$153,MATCH(1,(D$4:D$153=D122)*(C$4:C$153=H122),0)),B122))</f>
        <v/>
      </c>
      <c r="K122" s="24">
        <f>IF(OR(C122="",E122=""),"",C122+E122)</f>
        <v/>
      </c>
      <c r="L122" s="22" t="n"/>
    </row>
    <row r="123" ht="22" customHeight="1">
      <c r="A123" s="27" t="n">
        <v>120</v>
      </c>
      <c r="B123" s="28" t="n"/>
      <c r="C123" s="29" t="n"/>
      <c r="D123" s="27" t="n"/>
      <c r="E123" s="29">
        <f>IF(D123="","",VLOOKUP(D123,$N$1:$O$57,2,FALSE))</f>
        <v/>
      </c>
      <c r="F123" s="27" t="n"/>
      <c r="G123" s="30" t="n"/>
      <c r="H123" s="29" t="n"/>
      <c r="I123" s="29">
        <f>IF(OR(C123="",H123=""),"",C123-H123)</f>
        <v/>
      </c>
      <c r="J123" s="31">
        <f>IF(OR(B123="",H123=""),"",B123-IFERROR(INDEX(B$4:B$153,MATCH(1,(D$4:D$153=D123)*(C$4:C$153=H123),0)),B123))</f>
        <v/>
      </c>
      <c r="K123" s="29">
        <f>IF(OR(C123="",E123=""),"",C123+E123)</f>
        <v/>
      </c>
      <c r="L123" s="27" t="n"/>
    </row>
    <row r="124" ht="22" customHeight="1">
      <c r="A124" s="22" t="n">
        <v>121</v>
      </c>
      <c r="B124" s="23" t="n"/>
      <c r="C124" s="24" t="n"/>
      <c r="D124" s="22" t="n"/>
      <c r="E124" s="24">
        <f>IF(D124="","",VLOOKUP(D124,$N$1:$O$57,2,FALSE))</f>
        <v/>
      </c>
      <c r="F124" s="22" t="n"/>
      <c r="G124" s="25" t="n"/>
      <c r="H124" s="24" t="n"/>
      <c r="I124" s="24">
        <f>IF(OR(C124="",H124=""),"",C124-H124)</f>
        <v/>
      </c>
      <c r="J124" s="26">
        <f>IF(OR(B124="",H124=""),"",B124-IFERROR(INDEX(B$4:B$153,MATCH(1,(D$4:D$153=D124)*(C$4:C$153=H124),0)),B124))</f>
        <v/>
      </c>
      <c r="K124" s="24">
        <f>IF(OR(C124="",E124=""),"",C124+E124)</f>
        <v/>
      </c>
      <c r="L124" s="22" t="n"/>
    </row>
    <row r="125" ht="22" customHeight="1">
      <c r="A125" s="27" t="n">
        <v>122</v>
      </c>
      <c r="B125" s="28" t="n"/>
      <c r="C125" s="29" t="n"/>
      <c r="D125" s="27" t="n"/>
      <c r="E125" s="29">
        <f>IF(D125="","",VLOOKUP(D125,$N$1:$O$57,2,FALSE))</f>
        <v/>
      </c>
      <c r="F125" s="27" t="n"/>
      <c r="G125" s="30" t="n"/>
      <c r="H125" s="29" t="n"/>
      <c r="I125" s="29">
        <f>IF(OR(C125="",H125=""),"",C125-H125)</f>
        <v/>
      </c>
      <c r="J125" s="31">
        <f>IF(OR(B125="",H125=""),"",B125-IFERROR(INDEX(B$4:B$153,MATCH(1,(D$4:D$153=D125)*(C$4:C$153=H125),0)),B125))</f>
        <v/>
      </c>
      <c r="K125" s="29">
        <f>IF(OR(C125="",E125=""),"",C125+E125)</f>
        <v/>
      </c>
      <c r="L125" s="27" t="n"/>
    </row>
    <row r="126" ht="22" customHeight="1">
      <c r="A126" s="22" t="n">
        <v>123</v>
      </c>
      <c r="B126" s="23" t="n"/>
      <c r="C126" s="24" t="n"/>
      <c r="D126" s="22" t="n"/>
      <c r="E126" s="24">
        <f>IF(D126="","",VLOOKUP(D126,$N$1:$O$57,2,FALSE))</f>
        <v/>
      </c>
      <c r="F126" s="22" t="n"/>
      <c r="G126" s="25" t="n"/>
      <c r="H126" s="24" t="n"/>
      <c r="I126" s="24">
        <f>IF(OR(C126="",H126=""),"",C126-H126)</f>
        <v/>
      </c>
      <c r="J126" s="26">
        <f>IF(OR(B126="",H126=""),"",B126-IFERROR(INDEX(B$4:B$153,MATCH(1,(D$4:D$153=D126)*(C$4:C$153=H126),0)),B126))</f>
        <v/>
      </c>
      <c r="K126" s="24">
        <f>IF(OR(C126="",E126=""),"",C126+E126)</f>
        <v/>
      </c>
      <c r="L126" s="22" t="n"/>
    </row>
    <row r="127" ht="22" customHeight="1">
      <c r="A127" s="27" t="n">
        <v>124</v>
      </c>
      <c r="B127" s="28" t="n"/>
      <c r="C127" s="29" t="n"/>
      <c r="D127" s="27" t="n"/>
      <c r="E127" s="29">
        <f>IF(D127="","",VLOOKUP(D127,$N$1:$O$57,2,FALSE))</f>
        <v/>
      </c>
      <c r="F127" s="27" t="n"/>
      <c r="G127" s="30" t="n"/>
      <c r="H127" s="29" t="n"/>
      <c r="I127" s="29">
        <f>IF(OR(C127="",H127=""),"",C127-H127)</f>
        <v/>
      </c>
      <c r="J127" s="31">
        <f>IF(OR(B127="",H127=""),"",B127-IFERROR(INDEX(B$4:B$153,MATCH(1,(D$4:D$153=D127)*(C$4:C$153=H127),0)),B127))</f>
        <v/>
      </c>
      <c r="K127" s="29">
        <f>IF(OR(C127="",E127=""),"",C127+E127)</f>
        <v/>
      </c>
      <c r="L127" s="27" t="n"/>
    </row>
    <row r="128" ht="22" customHeight="1">
      <c r="A128" s="22" t="n">
        <v>125</v>
      </c>
      <c r="B128" s="23" t="n"/>
      <c r="C128" s="24" t="n"/>
      <c r="D128" s="22" t="n"/>
      <c r="E128" s="24">
        <f>IF(D128="","",VLOOKUP(D128,$N$1:$O$57,2,FALSE))</f>
        <v/>
      </c>
      <c r="F128" s="22" t="n"/>
      <c r="G128" s="25" t="n"/>
      <c r="H128" s="24" t="n"/>
      <c r="I128" s="24">
        <f>IF(OR(C128="",H128=""),"",C128-H128)</f>
        <v/>
      </c>
      <c r="J128" s="26">
        <f>IF(OR(B128="",H128=""),"",B128-IFERROR(INDEX(B$4:B$153,MATCH(1,(D$4:D$153=D128)*(C$4:C$153=H128),0)),B128))</f>
        <v/>
      </c>
      <c r="K128" s="24">
        <f>IF(OR(C128="",E128=""),"",C128+E128)</f>
        <v/>
      </c>
      <c r="L128" s="22" t="n"/>
    </row>
    <row r="129" ht="22" customHeight="1">
      <c r="A129" s="27" t="n">
        <v>126</v>
      </c>
      <c r="B129" s="28" t="n"/>
      <c r="C129" s="29" t="n"/>
      <c r="D129" s="27" t="n"/>
      <c r="E129" s="29">
        <f>IF(D129="","",VLOOKUP(D129,$N$1:$O$57,2,FALSE))</f>
        <v/>
      </c>
      <c r="F129" s="27" t="n"/>
      <c r="G129" s="30" t="n"/>
      <c r="H129" s="29" t="n"/>
      <c r="I129" s="29">
        <f>IF(OR(C129="",H129=""),"",C129-H129)</f>
        <v/>
      </c>
      <c r="J129" s="31">
        <f>IF(OR(B129="",H129=""),"",B129-IFERROR(INDEX(B$4:B$153,MATCH(1,(D$4:D$153=D129)*(C$4:C$153=H129),0)),B129))</f>
        <v/>
      </c>
      <c r="K129" s="29">
        <f>IF(OR(C129="",E129=""),"",C129+E129)</f>
        <v/>
      </c>
      <c r="L129" s="27" t="n"/>
    </row>
    <row r="130" ht="22" customHeight="1">
      <c r="A130" s="22" t="n">
        <v>127</v>
      </c>
      <c r="B130" s="23" t="n"/>
      <c r="C130" s="24" t="n"/>
      <c r="D130" s="22" t="n"/>
      <c r="E130" s="24">
        <f>IF(D130="","",VLOOKUP(D130,$N$1:$O$57,2,FALSE))</f>
        <v/>
      </c>
      <c r="F130" s="22" t="n"/>
      <c r="G130" s="25" t="n"/>
      <c r="H130" s="24" t="n"/>
      <c r="I130" s="24">
        <f>IF(OR(C130="",H130=""),"",C130-H130)</f>
        <v/>
      </c>
      <c r="J130" s="26">
        <f>IF(OR(B130="",H130=""),"",B130-IFERROR(INDEX(B$4:B$153,MATCH(1,(D$4:D$153=D130)*(C$4:C$153=H130),0)),B130))</f>
        <v/>
      </c>
      <c r="K130" s="24">
        <f>IF(OR(C130="",E130=""),"",C130+E130)</f>
        <v/>
      </c>
      <c r="L130" s="22" t="n"/>
    </row>
    <row r="131" ht="22" customHeight="1">
      <c r="A131" s="27" t="n">
        <v>128</v>
      </c>
      <c r="B131" s="28" t="n"/>
      <c r="C131" s="29" t="n"/>
      <c r="D131" s="27" t="n"/>
      <c r="E131" s="29">
        <f>IF(D131="","",VLOOKUP(D131,$N$1:$O$57,2,FALSE))</f>
        <v/>
      </c>
      <c r="F131" s="27" t="n"/>
      <c r="G131" s="30" t="n"/>
      <c r="H131" s="29" t="n"/>
      <c r="I131" s="29">
        <f>IF(OR(C131="",H131=""),"",C131-H131)</f>
        <v/>
      </c>
      <c r="J131" s="31">
        <f>IF(OR(B131="",H131=""),"",B131-IFERROR(INDEX(B$4:B$153,MATCH(1,(D$4:D$153=D131)*(C$4:C$153=H131),0)),B131))</f>
        <v/>
      </c>
      <c r="K131" s="29">
        <f>IF(OR(C131="",E131=""),"",C131+E131)</f>
        <v/>
      </c>
      <c r="L131" s="27" t="n"/>
    </row>
    <row r="132" ht="22" customHeight="1">
      <c r="A132" s="22" t="n">
        <v>129</v>
      </c>
      <c r="B132" s="23" t="n"/>
      <c r="C132" s="24" t="n"/>
      <c r="D132" s="22" t="n"/>
      <c r="E132" s="24">
        <f>IF(D132="","",VLOOKUP(D132,$N$1:$O$57,2,FALSE))</f>
        <v/>
      </c>
      <c r="F132" s="22" t="n"/>
      <c r="G132" s="25" t="n"/>
      <c r="H132" s="24" t="n"/>
      <c r="I132" s="24">
        <f>IF(OR(C132="",H132=""),"",C132-H132)</f>
        <v/>
      </c>
      <c r="J132" s="26">
        <f>IF(OR(B132="",H132=""),"",B132-IFERROR(INDEX(B$4:B$153,MATCH(1,(D$4:D$153=D132)*(C$4:C$153=H132),0)),B132))</f>
        <v/>
      </c>
      <c r="K132" s="24">
        <f>IF(OR(C132="",E132=""),"",C132+E132)</f>
        <v/>
      </c>
      <c r="L132" s="22" t="n"/>
    </row>
    <row r="133" ht="22" customHeight="1">
      <c r="A133" s="27" t="n">
        <v>130</v>
      </c>
      <c r="B133" s="28" t="n"/>
      <c r="C133" s="29" t="n"/>
      <c r="D133" s="27" t="n"/>
      <c r="E133" s="29">
        <f>IF(D133="","",VLOOKUP(D133,$N$1:$O$57,2,FALSE))</f>
        <v/>
      </c>
      <c r="F133" s="27" t="n"/>
      <c r="G133" s="30" t="n"/>
      <c r="H133" s="29" t="n"/>
      <c r="I133" s="29">
        <f>IF(OR(C133="",H133=""),"",C133-H133)</f>
        <v/>
      </c>
      <c r="J133" s="31">
        <f>IF(OR(B133="",H133=""),"",B133-IFERROR(INDEX(B$4:B$153,MATCH(1,(D$4:D$153=D133)*(C$4:C$153=H133),0)),B133))</f>
        <v/>
      </c>
      <c r="K133" s="29">
        <f>IF(OR(C133="",E133=""),"",C133+E133)</f>
        <v/>
      </c>
      <c r="L133" s="27" t="n"/>
    </row>
    <row r="134" ht="22" customHeight="1">
      <c r="A134" s="22" t="n">
        <v>131</v>
      </c>
      <c r="B134" s="23" t="n"/>
      <c r="C134" s="24" t="n"/>
      <c r="D134" s="22" t="n"/>
      <c r="E134" s="24">
        <f>IF(D134="","",VLOOKUP(D134,$N$1:$O$57,2,FALSE))</f>
        <v/>
      </c>
      <c r="F134" s="22" t="n"/>
      <c r="G134" s="25" t="n"/>
      <c r="H134" s="24" t="n"/>
      <c r="I134" s="24">
        <f>IF(OR(C134="",H134=""),"",C134-H134)</f>
        <v/>
      </c>
      <c r="J134" s="26">
        <f>IF(OR(B134="",H134=""),"",B134-IFERROR(INDEX(B$4:B$153,MATCH(1,(D$4:D$153=D134)*(C$4:C$153=H134),0)),B134))</f>
        <v/>
      </c>
      <c r="K134" s="24">
        <f>IF(OR(C134="",E134=""),"",C134+E134)</f>
        <v/>
      </c>
      <c r="L134" s="22" t="n"/>
    </row>
    <row r="135" ht="22" customHeight="1">
      <c r="A135" s="27" t="n">
        <v>132</v>
      </c>
      <c r="B135" s="28" t="n"/>
      <c r="C135" s="29" t="n"/>
      <c r="D135" s="27" t="n"/>
      <c r="E135" s="29">
        <f>IF(D135="","",VLOOKUP(D135,$N$1:$O$57,2,FALSE))</f>
        <v/>
      </c>
      <c r="F135" s="27" t="n"/>
      <c r="G135" s="30" t="n"/>
      <c r="H135" s="29" t="n"/>
      <c r="I135" s="29">
        <f>IF(OR(C135="",H135=""),"",C135-H135)</f>
        <v/>
      </c>
      <c r="J135" s="31">
        <f>IF(OR(B135="",H135=""),"",B135-IFERROR(INDEX(B$4:B$153,MATCH(1,(D$4:D$153=D135)*(C$4:C$153=H135),0)),B135))</f>
        <v/>
      </c>
      <c r="K135" s="29">
        <f>IF(OR(C135="",E135=""),"",C135+E135)</f>
        <v/>
      </c>
      <c r="L135" s="27" t="n"/>
    </row>
    <row r="136" ht="22" customHeight="1">
      <c r="A136" s="22" t="n">
        <v>133</v>
      </c>
      <c r="B136" s="23" t="n"/>
      <c r="C136" s="24" t="n"/>
      <c r="D136" s="22" t="n"/>
      <c r="E136" s="24">
        <f>IF(D136="","",VLOOKUP(D136,$N$1:$O$57,2,FALSE))</f>
        <v/>
      </c>
      <c r="F136" s="22" t="n"/>
      <c r="G136" s="25" t="n"/>
      <c r="H136" s="24" t="n"/>
      <c r="I136" s="24">
        <f>IF(OR(C136="",H136=""),"",C136-H136)</f>
        <v/>
      </c>
      <c r="J136" s="26">
        <f>IF(OR(B136="",H136=""),"",B136-IFERROR(INDEX(B$4:B$153,MATCH(1,(D$4:D$153=D136)*(C$4:C$153=H136),0)),B136))</f>
        <v/>
      </c>
      <c r="K136" s="24">
        <f>IF(OR(C136="",E136=""),"",C136+E136)</f>
        <v/>
      </c>
      <c r="L136" s="22" t="n"/>
    </row>
    <row r="137" ht="22" customHeight="1">
      <c r="A137" s="27" t="n">
        <v>134</v>
      </c>
      <c r="B137" s="28" t="n"/>
      <c r="C137" s="29" t="n"/>
      <c r="D137" s="27" t="n"/>
      <c r="E137" s="29">
        <f>IF(D137="","",VLOOKUP(D137,$N$1:$O$57,2,FALSE))</f>
        <v/>
      </c>
      <c r="F137" s="27" t="n"/>
      <c r="G137" s="30" t="n"/>
      <c r="H137" s="29" t="n"/>
      <c r="I137" s="29">
        <f>IF(OR(C137="",H137=""),"",C137-H137)</f>
        <v/>
      </c>
      <c r="J137" s="31">
        <f>IF(OR(B137="",H137=""),"",B137-IFERROR(INDEX(B$4:B$153,MATCH(1,(D$4:D$153=D137)*(C$4:C$153=H137),0)),B137))</f>
        <v/>
      </c>
      <c r="K137" s="29">
        <f>IF(OR(C137="",E137=""),"",C137+E137)</f>
        <v/>
      </c>
      <c r="L137" s="27" t="n"/>
    </row>
    <row r="138" ht="22" customHeight="1">
      <c r="A138" s="22" t="n">
        <v>135</v>
      </c>
      <c r="B138" s="23" t="n"/>
      <c r="C138" s="24" t="n"/>
      <c r="D138" s="22" t="n"/>
      <c r="E138" s="24">
        <f>IF(D138="","",VLOOKUP(D138,$N$1:$O$57,2,FALSE))</f>
        <v/>
      </c>
      <c r="F138" s="22" t="n"/>
      <c r="G138" s="25" t="n"/>
      <c r="H138" s="24" t="n"/>
      <c r="I138" s="24">
        <f>IF(OR(C138="",H138=""),"",C138-H138)</f>
        <v/>
      </c>
      <c r="J138" s="26">
        <f>IF(OR(B138="",H138=""),"",B138-IFERROR(INDEX(B$4:B$153,MATCH(1,(D$4:D$153=D138)*(C$4:C$153=H138),0)),B138))</f>
        <v/>
      </c>
      <c r="K138" s="24">
        <f>IF(OR(C138="",E138=""),"",C138+E138)</f>
        <v/>
      </c>
      <c r="L138" s="22" t="n"/>
    </row>
    <row r="139" ht="22" customHeight="1">
      <c r="A139" s="27" t="n">
        <v>136</v>
      </c>
      <c r="B139" s="28" t="n"/>
      <c r="C139" s="29" t="n"/>
      <c r="D139" s="27" t="n"/>
      <c r="E139" s="29">
        <f>IF(D139="","",VLOOKUP(D139,$N$1:$O$57,2,FALSE))</f>
        <v/>
      </c>
      <c r="F139" s="27" t="n"/>
      <c r="G139" s="30" t="n"/>
      <c r="H139" s="29" t="n"/>
      <c r="I139" s="29">
        <f>IF(OR(C139="",H139=""),"",C139-H139)</f>
        <v/>
      </c>
      <c r="J139" s="31">
        <f>IF(OR(B139="",H139=""),"",B139-IFERROR(INDEX(B$4:B$153,MATCH(1,(D$4:D$153=D139)*(C$4:C$153=H139),0)),B139))</f>
        <v/>
      </c>
      <c r="K139" s="29">
        <f>IF(OR(C139="",E139=""),"",C139+E139)</f>
        <v/>
      </c>
      <c r="L139" s="27" t="n"/>
    </row>
    <row r="140" ht="22" customHeight="1">
      <c r="A140" s="22" t="n">
        <v>137</v>
      </c>
      <c r="B140" s="23" t="n"/>
      <c r="C140" s="24" t="n"/>
      <c r="D140" s="22" t="n"/>
      <c r="E140" s="24">
        <f>IF(D140="","",VLOOKUP(D140,$N$1:$O$57,2,FALSE))</f>
        <v/>
      </c>
      <c r="F140" s="22" t="n"/>
      <c r="G140" s="25" t="n"/>
      <c r="H140" s="24" t="n"/>
      <c r="I140" s="24">
        <f>IF(OR(C140="",H140=""),"",C140-H140)</f>
        <v/>
      </c>
      <c r="J140" s="26">
        <f>IF(OR(B140="",H140=""),"",B140-IFERROR(INDEX(B$4:B$153,MATCH(1,(D$4:D$153=D140)*(C$4:C$153=H140),0)),B140))</f>
        <v/>
      </c>
      <c r="K140" s="24">
        <f>IF(OR(C140="",E140=""),"",C140+E140)</f>
        <v/>
      </c>
      <c r="L140" s="22" t="n"/>
    </row>
    <row r="141" ht="22" customHeight="1">
      <c r="A141" s="27" t="n">
        <v>138</v>
      </c>
      <c r="B141" s="28" t="n"/>
      <c r="C141" s="29" t="n"/>
      <c r="D141" s="27" t="n"/>
      <c r="E141" s="29">
        <f>IF(D141="","",VLOOKUP(D141,$N$1:$O$57,2,FALSE))</f>
        <v/>
      </c>
      <c r="F141" s="27" t="n"/>
      <c r="G141" s="30" t="n"/>
      <c r="H141" s="29" t="n"/>
      <c r="I141" s="29">
        <f>IF(OR(C141="",H141=""),"",C141-H141)</f>
        <v/>
      </c>
      <c r="J141" s="31">
        <f>IF(OR(B141="",H141=""),"",B141-IFERROR(INDEX(B$4:B$153,MATCH(1,(D$4:D$153=D141)*(C$4:C$153=H141),0)),B141))</f>
        <v/>
      </c>
      <c r="K141" s="29">
        <f>IF(OR(C141="",E141=""),"",C141+E141)</f>
        <v/>
      </c>
      <c r="L141" s="27" t="n"/>
    </row>
    <row r="142" ht="22" customHeight="1">
      <c r="A142" s="22" t="n">
        <v>139</v>
      </c>
      <c r="B142" s="23" t="n"/>
      <c r="C142" s="24" t="n"/>
      <c r="D142" s="22" t="n"/>
      <c r="E142" s="24">
        <f>IF(D142="","",VLOOKUP(D142,$N$1:$O$57,2,FALSE))</f>
        <v/>
      </c>
      <c r="F142" s="22" t="n"/>
      <c r="G142" s="25" t="n"/>
      <c r="H142" s="24" t="n"/>
      <c r="I142" s="24">
        <f>IF(OR(C142="",H142=""),"",C142-H142)</f>
        <v/>
      </c>
      <c r="J142" s="26">
        <f>IF(OR(B142="",H142=""),"",B142-IFERROR(INDEX(B$4:B$153,MATCH(1,(D$4:D$153=D142)*(C$4:C$153=H142),0)),B142))</f>
        <v/>
      </c>
      <c r="K142" s="24">
        <f>IF(OR(C142="",E142=""),"",C142+E142)</f>
        <v/>
      </c>
      <c r="L142" s="22" t="n"/>
    </row>
    <row r="143" ht="22" customHeight="1">
      <c r="A143" s="27" t="n">
        <v>140</v>
      </c>
      <c r="B143" s="28" t="n"/>
      <c r="C143" s="29" t="n"/>
      <c r="D143" s="27" t="n"/>
      <c r="E143" s="29">
        <f>IF(D143="","",VLOOKUP(D143,$N$1:$O$57,2,FALSE))</f>
        <v/>
      </c>
      <c r="F143" s="27" t="n"/>
      <c r="G143" s="30" t="n"/>
      <c r="H143" s="29" t="n"/>
      <c r="I143" s="29">
        <f>IF(OR(C143="",H143=""),"",C143-H143)</f>
        <v/>
      </c>
      <c r="J143" s="31">
        <f>IF(OR(B143="",H143=""),"",B143-IFERROR(INDEX(B$4:B$153,MATCH(1,(D$4:D$153=D143)*(C$4:C$153=H143),0)),B143))</f>
        <v/>
      </c>
      <c r="K143" s="29">
        <f>IF(OR(C143="",E143=""),"",C143+E143)</f>
        <v/>
      </c>
      <c r="L143" s="27" t="n"/>
    </row>
    <row r="144" ht="22" customHeight="1">
      <c r="A144" s="22" t="n">
        <v>141</v>
      </c>
      <c r="B144" s="23" t="n"/>
      <c r="C144" s="24" t="n"/>
      <c r="D144" s="22" t="n"/>
      <c r="E144" s="24">
        <f>IF(D144="","",VLOOKUP(D144,$N$1:$O$57,2,FALSE))</f>
        <v/>
      </c>
      <c r="F144" s="22" t="n"/>
      <c r="G144" s="25" t="n"/>
      <c r="H144" s="24" t="n"/>
      <c r="I144" s="24">
        <f>IF(OR(C144="",H144=""),"",C144-H144)</f>
        <v/>
      </c>
      <c r="J144" s="26">
        <f>IF(OR(B144="",H144=""),"",B144-IFERROR(INDEX(B$4:B$153,MATCH(1,(D$4:D$153=D144)*(C$4:C$153=H144),0)),B144))</f>
        <v/>
      </c>
      <c r="K144" s="24">
        <f>IF(OR(C144="",E144=""),"",C144+E144)</f>
        <v/>
      </c>
      <c r="L144" s="22" t="n"/>
    </row>
    <row r="145" ht="22" customHeight="1">
      <c r="A145" s="27" t="n">
        <v>142</v>
      </c>
      <c r="B145" s="28" t="n"/>
      <c r="C145" s="29" t="n"/>
      <c r="D145" s="27" t="n"/>
      <c r="E145" s="29">
        <f>IF(D145="","",VLOOKUP(D145,$N$1:$O$57,2,FALSE))</f>
        <v/>
      </c>
      <c r="F145" s="27" t="n"/>
      <c r="G145" s="30" t="n"/>
      <c r="H145" s="29" t="n"/>
      <c r="I145" s="29">
        <f>IF(OR(C145="",H145=""),"",C145-H145)</f>
        <v/>
      </c>
      <c r="J145" s="31">
        <f>IF(OR(B145="",H145=""),"",B145-IFERROR(INDEX(B$4:B$153,MATCH(1,(D$4:D$153=D145)*(C$4:C$153=H145),0)),B145))</f>
        <v/>
      </c>
      <c r="K145" s="29">
        <f>IF(OR(C145="",E145=""),"",C145+E145)</f>
        <v/>
      </c>
      <c r="L145" s="27" t="n"/>
    </row>
    <row r="146" ht="22" customHeight="1">
      <c r="A146" s="22" t="n">
        <v>143</v>
      </c>
      <c r="B146" s="23" t="n"/>
      <c r="C146" s="24" t="n"/>
      <c r="D146" s="22" t="n"/>
      <c r="E146" s="24">
        <f>IF(D146="","",VLOOKUP(D146,$N$1:$O$57,2,FALSE))</f>
        <v/>
      </c>
      <c r="F146" s="22" t="n"/>
      <c r="G146" s="25" t="n"/>
      <c r="H146" s="24" t="n"/>
      <c r="I146" s="24">
        <f>IF(OR(C146="",H146=""),"",C146-H146)</f>
        <v/>
      </c>
      <c r="J146" s="26">
        <f>IF(OR(B146="",H146=""),"",B146-IFERROR(INDEX(B$4:B$153,MATCH(1,(D$4:D$153=D146)*(C$4:C$153=H146),0)),B146))</f>
        <v/>
      </c>
      <c r="K146" s="24">
        <f>IF(OR(C146="",E146=""),"",C146+E146)</f>
        <v/>
      </c>
      <c r="L146" s="22" t="n"/>
    </row>
    <row r="147" ht="22" customHeight="1">
      <c r="A147" s="27" t="n">
        <v>144</v>
      </c>
      <c r="B147" s="28" t="n"/>
      <c r="C147" s="29" t="n"/>
      <c r="D147" s="27" t="n"/>
      <c r="E147" s="29">
        <f>IF(D147="","",VLOOKUP(D147,$N$1:$O$57,2,FALSE))</f>
        <v/>
      </c>
      <c r="F147" s="27" t="n"/>
      <c r="G147" s="30" t="n"/>
      <c r="H147" s="29" t="n"/>
      <c r="I147" s="29">
        <f>IF(OR(C147="",H147=""),"",C147-H147)</f>
        <v/>
      </c>
      <c r="J147" s="31">
        <f>IF(OR(B147="",H147=""),"",B147-IFERROR(INDEX(B$4:B$153,MATCH(1,(D$4:D$153=D147)*(C$4:C$153=H147),0)),B147))</f>
        <v/>
      </c>
      <c r="K147" s="29">
        <f>IF(OR(C147="",E147=""),"",C147+E147)</f>
        <v/>
      </c>
      <c r="L147" s="27" t="n"/>
    </row>
    <row r="148" ht="22" customHeight="1">
      <c r="A148" s="22" t="n">
        <v>145</v>
      </c>
      <c r="B148" s="23" t="n"/>
      <c r="C148" s="24" t="n"/>
      <c r="D148" s="22" t="n"/>
      <c r="E148" s="24">
        <f>IF(D148="","",VLOOKUP(D148,$N$1:$O$57,2,FALSE))</f>
        <v/>
      </c>
      <c r="F148" s="22" t="n"/>
      <c r="G148" s="25" t="n"/>
      <c r="H148" s="24" t="n"/>
      <c r="I148" s="24">
        <f>IF(OR(C148="",H148=""),"",C148-H148)</f>
        <v/>
      </c>
      <c r="J148" s="26">
        <f>IF(OR(B148="",H148=""),"",B148-IFERROR(INDEX(B$4:B$153,MATCH(1,(D$4:D$153=D148)*(C$4:C$153=H148),0)),B148))</f>
        <v/>
      </c>
      <c r="K148" s="24">
        <f>IF(OR(C148="",E148=""),"",C148+E148)</f>
        <v/>
      </c>
      <c r="L148" s="22" t="n"/>
    </row>
    <row r="149" ht="22" customHeight="1">
      <c r="A149" s="27" t="n">
        <v>146</v>
      </c>
      <c r="B149" s="28" t="n"/>
      <c r="C149" s="29" t="n"/>
      <c r="D149" s="27" t="n"/>
      <c r="E149" s="29">
        <f>IF(D149="","",VLOOKUP(D149,$N$1:$O$57,2,FALSE))</f>
        <v/>
      </c>
      <c r="F149" s="27" t="n"/>
      <c r="G149" s="30" t="n"/>
      <c r="H149" s="29" t="n"/>
      <c r="I149" s="29">
        <f>IF(OR(C149="",H149=""),"",C149-H149)</f>
        <v/>
      </c>
      <c r="J149" s="31">
        <f>IF(OR(B149="",H149=""),"",B149-IFERROR(INDEX(B$4:B$153,MATCH(1,(D$4:D$153=D149)*(C$4:C$153=H149),0)),B149))</f>
        <v/>
      </c>
      <c r="K149" s="29">
        <f>IF(OR(C149="",E149=""),"",C149+E149)</f>
        <v/>
      </c>
      <c r="L149" s="27" t="n"/>
    </row>
    <row r="150" ht="22" customHeight="1">
      <c r="A150" s="22" t="n">
        <v>147</v>
      </c>
      <c r="B150" s="23" t="n"/>
      <c r="C150" s="24" t="n"/>
      <c r="D150" s="22" t="n"/>
      <c r="E150" s="24">
        <f>IF(D150="","",VLOOKUP(D150,$N$1:$O$57,2,FALSE))</f>
        <v/>
      </c>
      <c r="F150" s="22" t="n"/>
      <c r="G150" s="25" t="n"/>
      <c r="H150" s="24" t="n"/>
      <c r="I150" s="24">
        <f>IF(OR(C150="",H150=""),"",C150-H150)</f>
        <v/>
      </c>
      <c r="J150" s="26">
        <f>IF(OR(B150="",H150=""),"",B150-IFERROR(INDEX(B$4:B$153,MATCH(1,(D$4:D$153=D150)*(C$4:C$153=H150),0)),B150))</f>
        <v/>
      </c>
      <c r="K150" s="24">
        <f>IF(OR(C150="",E150=""),"",C150+E150)</f>
        <v/>
      </c>
      <c r="L150" s="22" t="n"/>
    </row>
    <row r="151" ht="22" customHeight="1">
      <c r="A151" s="27" t="n">
        <v>148</v>
      </c>
      <c r="B151" s="28" t="n"/>
      <c r="C151" s="29" t="n"/>
      <c r="D151" s="27" t="n"/>
      <c r="E151" s="29">
        <f>IF(D151="","",VLOOKUP(D151,$N$1:$O$57,2,FALSE))</f>
        <v/>
      </c>
      <c r="F151" s="27" t="n"/>
      <c r="G151" s="30" t="n"/>
      <c r="H151" s="29" t="n"/>
      <c r="I151" s="29">
        <f>IF(OR(C151="",H151=""),"",C151-H151)</f>
        <v/>
      </c>
      <c r="J151" s="31">
        <f>IF(OR(B151="",H151=""),"",B151-IFERROR(INDEX(B$4:B$153,MATCH(1,(D$4:D$153=D151)*(C$4:C$153=H151),0)),B151))</f>
        <v/>
      </c>
      <c r="K151" s="29">
        <f>IF(OR(C151="",E151=""),"",C151+E151)</f>
        <v/>
      </c>
      <c r="L151" s="27" t="n"/>
    </row>
    <row r="152" ht="22" customHeight="1">
      <c r="A152" s="22" t="n">
        <v>149</v>
      </c>
      <c r="B152" s="23" t="n"/>
      <c r="C152" s="24" t="n"/>
      <c r="D152" s="22" t="n"/>
      <c r="E152" s="24">
        <f>IF(D152="","",VLOOKUP(D152,$N$1:$O$57,2,FALSE))</f>
        <v/>
      </c>
      <c r="F152" s="22" t="n"/>
      <c r="G152" s="25" t="n"/>
      <c r="H152" s="24" t="n"/>
      <c r="I152" s="24">
        <f>IF(OR(C152="",H152=""),"",C152-H152)</f>
        <v/>
      </c>
      <c r="J152" s="26">
        <f>IF(OR(B152="",H152=""),"",B152-IFERROR(INDEX(B$4:B$153,MATCH(1,(D$4:D$153=D152)*(C$4:C$153=H152),0)),B152))</f>
        <v/>
      </c>
      <c r="K152" s="24">
        <f>IF(OR(C152="",E152=""),"",C152+E152)</f>
        <v/>
      </c>
      <c r="L152" s="22" t="n"/>
    </row>
    <row r="153" ht="22" customHeight="1">
      <c r="A153" s="27" t="n">
        <v>150</v>
      </c>
      <c r="B153" s="28" t="n"/>
      <c r="C153" s="29" t="n"/>
      <c r="D153" s="27" t="n"/>
      <c r="E153" s="29">
        <f>IF(D153="","",VLOOKUP(D153,$N$1:$O$57,2,FALSE))</f>
        <v/>
      </c>
      <c r="F153" s="27" t="n"/>
      <c r="G153" s="30" t="n"/>
      <c r="H153" s="29" t="n"/>
      <c r="I153" s="29">
        <f>IF(OR(C153="",H153=""),"",C153-H153)</f>
        <v/>
      </c>
      <c r="J153" s="31">
        <f>IF(OR(B153="",H153=""),"",B153-IFERROR(INDEX(B$4:B$153,MATCH(1,(D$4:D$153=D153)*(C$4:C$153=H153),0)),B153))</f>
        <v/>
      </c>
      <c r="K153" s="29">
        <f>IF(OR(C153="",E153=""),"",C153+E153)</f>
        <v/>
      </c>
      <c r="L153" s="27" t="n"/>
    </row>
    <row r="154">
      <c r="A154" s="32" t="inlineStr">
        <is>
          <t>TOTAL INVESTIDO EM PREVENTIVA</t>
        </is>
      </c>
      <c r="B154" s="33" t="n"/>
      <c r="C154" s="33" t="n"/>
      <c r="D154" s="33" t="n"/>
      <c r="E154" s="33" t="n"/>
      <c r="F154" s="33" t="n"/>
      <c r="G154" s="34">
        <f>SUM(G4:G153)</f>
        <v/>
      </c>
      <c r="H154" s="33" t="n"/>
      <c r="I154" s="33" t="n"/>
      <c r="J154" s="33" t="n"/>
      <c r="K154" s="33" t="n"/>
      <c r="L154" s="33" t="n"/>
    </row>
  </sheetData>
  <autoFilter ref="A3:L153"/>
  <mergeCells count="2">
    <mergeCell ref="A154:F154"/>
    <mergeCell ref="A1:L1"/>
  </mergeCells>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showDropDown="0" showInputMessage="0" showErrorMessage="0" allowBlank="1" promptTitle="Peça" prompt="Selecione a peça" type="list">
      <formula1>=$N$1:$N$57</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74C3C"/>
    <outlinePr summaryBelow="1" summaryRight="1"/>
    <pageSetUpPr fitToPage="1"/>
  </sheetPr>
  <dimension ref="A1:P154"/>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20" customWidth="1" min="3" max="3"/>
    <col width="38" customWidth="1" min="4" max="4"/>
    <col width="35" customWidth="1" min="5" max="5"/>
    <col width="24" customWidth="1" min="6" max="6"/>
    <col width="20" customWidth="1" min="7" max="7"/>
    <col width="18" customWidth="1" min="8" max="8"/>
    <col width="20" customWidth="1" min="9" max="9"/>
    <col width="18" customWidth="1" min="10" max="10"/>
    <col width="22" customWidth="1" min="11" max="11"/>
    <col width="20" customWidth="1" min="12" max="12"/>
    <col width="18" customWidth="1" min="13" max="13"/>
    <col width="18" customWidth="1" min="14" max="14"/>
    <col hidden="1" width="13" customWidth="1" min="16" max="16"/>
  </cols>
  <sheetData>
    <row r="1" ht="38" customHeight="1">
      <c r="A1" s="47" t="inlineStr">
        <is>
          <t>MANUTENÇÃO CORRETIVA (QUEBRAS) — KIA BONGO 2014</t>
        </is>
      </c>
      <c r="B1" s="48" t="n"/>
      <c r="C1" s="48" t="n"/>
      <c r="D1" s="48" t="n"/>
      <c r="E1" s="48" t="n"/>
      <c r="F1" s="48" t="n"/>
      <c r="G1" s="48" t="n"/>
      <c r="H1" s="48" t="n"/>
      <c r="I1" s="48" t="n"/>
      <c r="J1" s="48" t="n"/>
      <c r="K1" s="48" t="n"/>
      <c r="L1" s="48" t="n"/>
      <c r="M1" s="48" t="n"/>
      <c r="N1" s="48" t="n"/>
      <c r="P1" t="inlineStr">
        <is>
          <t>Óleo do Motor 5W-30 (Diesel)</t>
        </is>
      </c>
    </row>
    <row r="2">
      <c r="P2" t="inlineStr">
        <is>
          <t>Filtro de Óleo</t>
        </is>
      </c>
    </row>
    <row r="3" ht="32" customHeight="1">
      <c r="A3" s="12" t="inlineStr">
        <is>
          <t>Nº</t>
        </is>
      </c>
      <c r="B3" s="12" t="inlineStr">
        <is>
          <t>Data da Quebra</t>
        </is>
      </c>
      <c r="C3" s="12" t="inlineStr">
        <is>
          <t>Odômetro Quebra (km)</t>
        </is>
      </c>
      <c r="D3" s="12" t="inlineStr">
        <is>
          <t>Peça que Quebrou</t>
        </is>
      </c>
      <c r="E3" s="12" t="inlineStr">
        <is>
          <t>Descrição do Problema</t>
        </is>
      </c>
      <c r="F3" s="12" t="inlineStr">
        <is>
          <t>Oficina / Mecânico</t>
        </is>
      </c>
      <c r="G3" s="12" t="inlineStr">
        <is>
          <t>Valor do Conserto (R$)</t>
        </is>
      </c>
      <c r="H3" s="12" t="inlineStr">
        <is>
          <t>Valor da Peça (R$)</t>
        </is>
      </c>
      <c r="I3" s="12" t="inlineStr">
        <is>
          <t>Valor Mão de Obra (R$)</t>
        </is>
      </c>
      <c r="J3" s="12" t="inlineStr">
        <is>
          <t>Custo Total (R$)</t>
        </is>
      </c>
      <c r="K3" s="12" t="inlineStr">
        <is>
          <t>Data Última Quebra (mesma peça)</t>
        </is>
      </c>
      <c r="L3" s="12" t="inlineStr">
        <is>
          <t>Odômetro Última Quebra</t>
        </is>
      </c>
      <c r="M3" s="12" t="inlineStr">
        <is>
          <t>Dias entre Quebras</t>
        </is>
      </c>
      <c r="N3" s="12" t="inlineStr">
        <is>
          <t>Km entre Quebras</t>
        </is>
      </c>
      <c r="P3" t="inlineStr">
        <is>
          <t>Filtro de Combustível (Primário)</t>
        </is>
      </c>
    </row>
    <row r="4" ht="22" customHeight="1">
      <c r="A4" s="22" t="n">
        <v>1</v>
      </c>
      <c r="B4" s="23" t="n"/>
      <c r="C4" s="24" t="n"/>
      <c r="D4" s="22" t="n"/>
      <c r="E4" s="22" t="n"/>
      <c r="F4" s="22" t="n"/>
      <c r="G4" s="25" t="n"/>
      <c r="H4" s="25" t="n"/>
      <c r="I4" s="25" t="n"/>
      <c r="J4" s="25">
        <f>IF(G4&lt;&gt;"",G4,IF(OR(H4="",I4=""),"",H4+I4))</f>
        <v/>
      </c>
      <c r="K4" s="23" t="n"/>
      <c r="L4" s="24" t="n"/>
      <c r="M4" s="26">
        <f>IF(OR(B4="",K4=""),"",B4-K4)</f>
        <v/>
      </c>
      <c r="N4" s="24">
        <f>IF(OR(C4="",L4=""),"",C4-L4)</f>
        <v/>
      </c>
      <c r="P4" t="inlineStr">
        <is>
          <t>Filtro de Combustível (Secundário)</t>
        </is>
      </c>
    </row>
    <row r="5" ht="22" customHeight="1">
      <c r="A5" s="27" t="n">
        <v>2</v>
      </c>
      <c r="B5" s="28" t="n"/>
      <c r="C5" s="29" t="n"/>
      <c r="D5" s="27" t="n"/>
      <c r="E5" s="27" t="n"/>
      <c r="F5" s="27" t="n"/>
      <c r="G5" s="30" t="n"/>
      <c r="H5" s="30" t="n"/>
      <c r="I5" s="30" t="n"/>
      <c r="J5" s="30">
        <f>IF(G5&lt;&gt;"",G5,IF(OR(H5="",I5=""),"",H5+I5))</f>
        <v/>
      </c>
      <c r="K5" s="28" t="n"/>
      <c r="L5" s="29" t="n"/>
      <c r="M5" s="31">
        <f>IF(OR(B5="",K5=""),"",B5-K5)</f>
        <v/>
      </c>
      <c r="N5" s="29">
        <f>IF(OR(C5="",L5=""),"",C5-L5)</f>
        <v/>
      </c>
      <c r="P5" t="inlineStr">
        <is>
          <t>Filtro de Ar do Motor</t>
        </is>
      </c>
    </row>
    <row r="6" ht="22" customHeight="1">
      <c r="A6" s="22" t="n">
        <v>3</v>
      </c>
      <c r="B6" s="23" t="n"/>
      <c r="C6" s="24" t="n"/>
      <c r="D6" s="22" t="n"/>
      <c r="E6" s="22" t="n"/>
      <c r="F6" s="22" t="n"/>
      <c r="G6" s="25" t="n"/>
      <c r="H6" s="25" t="n"/>
      <c r="I6" s="25" t="n"/>
      <c r="J6" s="25">
        <f>IF(G6&lt;&gt;"",G6,IF(OR(H6="",I6=""),"",H6+I6))</f>
        <v/>
      </c>
      <c r="K6" s="23" t="n"/>
      <c r="L6" s="24" t="n"/>
      <c r="M6" s="26">
        <f>IF(OR(B6="",K6=""),"",B6-K6)</f>
        <v/>
      </c>
      <c r="N6" s="24">
        <f>IF(OR(C6="",L6=""),"",C6-L6)</f>
        <v/>
      </c>
      <c r="P6" t="inlineStr">
        <is>
          <t>Filtro de Ar Condicionado (Cabine)</t>
        </is>
      </c>
    </row>
    <row r="7" ht="22" customHeight="1">
      <c r="A7" s="27" t="n">
        <v>4</v>
      </c>
      <c r="B7" s="28" t="n"/>
      <c r="C7" s="29" t="n"/>
      <c r="D7" s="27" t="n"/>
      <c r="E7" s="27" t="n"/>
      <c r="F7" s="27" t="n"/>
      <c r="G7" s="30" t="n"/>
      <c r="H7" s="30" t="n"/>
      <c r="I7" s="30" t="n"/>
      <c r="J7" s="30">
        <f>IF(G7&lt;&gt;"",G7,IF(OR(H7="",I7=""),"",H7+I7))</f>
        <v/>
      </c>
      <c r="K7" s="28" t="n"/>
      <c r="L7" s="29" t="n"/>
      <c r="M7" s="31">
        <f>IF(OR(B7="",K7=""),"",B7-K7)</f>
        <v/>
      </c>
      <c r="N7" s="29">
        <f>IF(OR(C7="",L7=""),"",C7-L7)</f>
        <v/>
      </c>
      <c r="P7" t="inlineStr">
        <is>
          <t>Correia Dentada</t>
        </is>
      </c>
    </row>
    <row r="8" ht="22" customHeight="1">
      <c r="A8" s="22" t="n">
        <v>5</v>
      </c>
      <c r="B8" s="23" t="n"/>
      <c r="C8" s="24" t="n"/>
      <c r="D8" s="22" t="n"/>
      <c r="E8" s="22" t="n"/>
      <c r="F8" s="22" t="n"/>
      <c r="G8" s="25" t="n"/>
      <c r="H8" s="25" t="n"/>
      <c r="I8" s="25" t="n"/>
      <c r="J8" s="25">
        <f>IF(G8&lt;&gt;"",G8,IF(OR(H8="",I8=""),"",H8+I8))</f>
        <v/>
      </c>
      <c r="K8" s="23" t="n"/>
      <c r="L8" s="24" t="n"/>
      <c r="M8" s="26">
        <f>IF(OR(B8="",K8=""),"",B8-K8)</f>
        <v/>
      </c>
      <c r="N8" s="24">
        <f>IF(OR(C8="",L8=""),"",C8-L8)</f>
        <v/>
      </c>
      <c r="P8" t="inlineStr">
        <is>
          <t>Correia do Alternador/Acessórios</t>
        </is>
      </c>
    </row>
    <row r="9" ht="22" customHeight="1">
      <c r="A9" s="27" t="n">
        <v>6</v>
      </c>
      <c r="B9" s="28" t="n"/>
      <c r="C9" s="29" t="n"/>
      <c r="D9" s="27" t="n"/>
      <c r="E9" s="27" t="n"/>
      <c r="F9" s="27" t="n"/>
      <c r="G9" s="30" t="n"/>
      <c r="H9" s="30" t="n"/>
      <c r="I9" s="30" t="n"/>
      <c r="J9" s="30">
        <f>IF(G9&lt;&gt;"",G9,IF(OR(H9="",I9=""),"",H9+I9))</f>
        <v/>
      </c>
      <c r="K9" s="28" t="n"/>
      <c r="L9" s="29" t="n"/>
      <c r="M9" s="31">
        <f>IF(OR(B9="",K9=""),"",B9-K9)</f>
        <v/>
      </c>
      <c r="N9" s="29">
        <f>IF(OR(C9="",L9=""),"",C9-L9)</f>
        <v/>
      </c>
      <c r="P9" t="inlineStr">
        <is>
          <t>Tensor da Correia Dentada</t>
        </is>
      </c>
    </row>
    <row r="10" ht="22" customHeight="1">
      <c r="A10" s="22" t="n">
        <v>7</v>
      </c>
      <c r="B10" s="23" t="n"/>
      <c r="C10" s="24" t="n"/>
      <c r="D10" s="22" t="n"/>
      <c r="E10" s="22" t="n"/>
      <c r="F10" s="22" t="n"/>
      <c r="G10" s="25" t="n"/>
      <c r="H10" s="25" t="n"/>
      <c r="I10" s="25" t="n"/>
      <c r="J10" s="25">
        <f>IF(G10&lt;&gt;"",G10,IF(OR(H10="",I10=""),"",H10+I10))</f>
        <v/>
      </c>
      <c r="K10" s="23" t="n"/>
      <c r="L10" s="24" t="n"/>
      <c r="M10" s="26">
        <f>IF(OR(B10="",K10=""),"",B10-K10)</f>
        <v/>
      </c>
      <c r="N10" s="24">
        <f>IF(OR(C10="",L10=""),"",C10-L10)</f>
        <v/>
      </c>
      <c r="P10" t="inlineStr">
        <is>
          <t>Bomba d'Água</t>
        </is>
      </c>
    </row>
    <row r="11" ht="22" customHeight="1">
      <c r="A11" s="27" t="n">
        <v>8</v>
      </c>
      <c r="B11" s="28" t="n"/>
      <c r="C11" s="29" t="n"/>
      <c r="D11" s="27" t="n"/>
      <c r="E11" s="27" t="n"/>
      <c r="F11" s="27" t="n"/>
      <c r="G11" s="30" t="n"/>
      <c r="H11" s="30" t="n"/>
      <c r="I11" s="30" t="n"/>
      <c r="J11" s="30">
        <f>IF(G11&lt;&gt;"",G11,IF(OR(H11="",I11=""),"",H11+I11))</f>
        <v/>
      </c>
      <c r="K11" s="28" t="n"/>
      <c r="L11" s="29" t="n"/>
      <c r="M11" s="31">
        <f>IF(OR(B11="",K11=""),"",B11-K11)</f>
        <v/>
      </c>
      <c r="N11" s="29">
        <f>IF(OR(C11="",L11=""),"",C11-L11)</f>
        <v/>
      </c>
      <c r="P11" t="inlineStr">
        <is>
          <t>Kit de Embreagem (Disco + Platô + Rolamento)</t>
        </is>
      </c>
    </row>
    <row r="12" ht="22" customHeight="1">
      <c r="A12" s="22" t="n">
        <v>9</v>
      </c>
      <c r="B12" s="23" t="n"/>
      <c r="C12" s="24" t="n"/>
      <c r="D12" s="22" t="n"/>
      <c r="E12" s="22" t="n"/>
      <c r="F12" s="22" t="n"/>
      <c r="G12" s="25" t="n"/>
      <c r="H12" s="25" t="n"/>
      <c r="I12" s="25" t="n"/>
      <c r="J12" s="25">
        <f>IF(G12&lt;&gt;"",G12,IF(OR(H12="",I12=""),"",H12+I12))</f>
        <v/>
      </c>
      <c r="K12" s="23" t="n"/>
      <c r="L12" s="24" t="n"/>
      <c r="M12" s="26">
        <f>IF(OR(B12="",K12=""),"",B12-K12)</f>
        <v/>
      </c>
      <c r="N12" s="24">
        <f>IF(OR(C12="",L12=""),"",C12-L12)</f>
        <v/>
      </c>
      <c r="P12" t="inlineStr">
        <is>
          <t>Atuador Hidráulico da Embreagem</t>
        </is>
      </c>
    </row>
    <row r="13" ht="22" customHeight="1">
      <c r="A13" s="27" t="n">
        <v>10</v>
      </c>
      <c r="B13" s="28" t="n"/>
      <c r="C13" s="29" t="n"/>
      <c r="D13" s="27" t="n"/>
      <c r="E13" s="27" t="n"/>
      <c r="F13" s="27" t="n"/>
      <c r="G13" s="30" t="n"/>
      <c r="H13" s="30" t="n"/>
      <c r="I13" s="30" t="n"/>
      <c r="J13" s="30">
        <f>IF(G13&lt;&gt;"",G13,IF(OR(H13="",I13=""),"",H13+I13))</f>
        <v/>
      </c>
      <c r="K13" s="28" t="n"/>
      <c r="L13" s="29" t="n"/>
      <c r="M13" s="31">
        <f>IF(OR(B13="",K13=""),"",B13-K13)</f>
        <v/>
      </c>
      <c r="N13" s="29">
        <f>IF(OR(C13="",L13=""),"",C13-L13)</f>
        <v/>
      </c>
      <c r="P13" t="inlineStr">
        <is>
          <t>Fluido de Embreagem</t>
        </is>
      </c>
    </row>
    <row r="14" ht="22" customHeight="1">
      <c r="A14" s="22" t="n">
        <v>11</v>
      </c>
      <c r="B14" s="23" t="n"/>
      <c r="C14" s="24" t="n"/>
      <c r="D14" s="22" t="n"/>
      <c r="E14" s="22" t="n"/>
      <c r="F14" s="22" t="n"/>
      <c r="G14" s="25" t="n"/>
      <c r="H14" s="25" t="n"/>
      <c r="I14" s="25" t="n"/>
      <c r="J14" s="25">
        <f>IF(G14&lt;&gt;"",G14,IF(OR(H14="",I14=""),"",H14+I14))</f>
        <v/>
      </c>
      <c r="K14" s="23" t="n"/>
      <c r="L14" s="24" t="n"/>
      <c r="M14" s="26">
        <f>IF(OR(B14="",K14=""),"",B14-K14)</f>
        <v/>
      </c>
      <c r="N14" s="24">
        <f>IF(OR(C14="",L14=""),"",C14-L14)</f>
        <v/>
      </c>
      <c r="P14" t="inlineStr">
        <is>
          <t>Pastilhas de Freio Dianteiras</t>
        </is>
      </c>
    </row>
    <row r="15" ht="22" customHeight="1">
      <c r="A15" s="27" t="n">
        <v>12</v>
      </c>
      <c r="B15" s="28" t="n"/>
      <c r="C15" s="29" t="n"/>
      <c r="D15" s="27" t="n"/>
      <c r="E15" s="27" t="n"/>
      <c r="F15" s="27" t="n"/>
      <c r="G15" s="30" t="n"/>
      <c r="H15" s="30" t="n"/>
      <c r="I15" s="30" t="n"/>
      <c r="J15" s="30">
        <f>IF(G15&lt;&gt;"",G15,IF(OR(H15="",I15=""),"",H15+I15))</f>
        <v/>
      </c>
      <c r="K15" s="28" t="n"/>
      <c r="L15" s="29" t="n"/>
      <c r="M15" s="31">
        <f>IF(OR(B15="",K15=""),"",B15-K15)</f>
        <v/>
      </c>
      <c r="N15" s="29">
        <f>IF(OR(C15="",L15=""),"",C15-L15)</f>
        <v/>
      </c>
      <c r="P15" t="inlineStr">
        <is>
          <t>Lonas de Freio Traseiras</t>
        </is>
      </c>
    </row>
    <row r="16" ht="22" customHeight="1">
      <c r="A16" s="22" t="n">
        <v>13</v>
      </c>
      <c r="B16" s="23" t="n"/>
      <c r="C16" s="24" t="n"/>
      <c r="D16" s="22" t="n"/>
      <c r="E16" s="22" t="n"/>
      <c r="F16" s="22" t="n"/>
      <c r="G16" s="25" t="n"/>
      <c r="H16" s="25" t="n"/>
      <c r="I16" s="25" t="n"/>
      <c r="J16" s="25">
        <f>IF(G16&lt;&gt;"",G16,IF(OR(H16="",I16=""),"",H16+I16))</f>
        <v/>
      </c>
      <c r="K16" s="23" t="n"/>
      <c r="L16" s="24" t="n"/>
      <c r="M16" s="26">
        <f>IF(OR(B16="",K16=""),"",B16-K16)</f>
        <v/>
      </c>
      <c r="N16" s="24">
        <f>IF(OR(C16="",L16=""),"",C16-L16)</f>
        <v/>
      </c>
      <c r="P16" t="inlineStr">
        <is>
          <t>Disco de Freio Dianteiro</t>
        </is>
      </c>
    </row>
    <row r="17" ht="22" customHeight="1">
      <c r="A17" s="27" t="n">
        <v>14</v>
      </c>
      <c r="B17" s="28" t="n"/>
      <c r="C17" s="29" t="n"/>
      <c r="D17" s="27" t="n"/>
      <c r="E17" s="27" t="n"/>
      <c r="F17" s="27" t="n"/>
      <c r="G17" s="30" t="n"/>
      <c r="H17" s="30" t="n"/>
      <c r="I17" s="30" t="n"/>
      <c r="J17" s="30">
        <f>IF(G17&lt;&gt;"",G17,IF(OR(H17="",I17=""),"",H17+I17))</f>
        <v/>
      </c>
      <c r="K17" s="28" t="n"/>
      <c r="L17" s="29" t="n"/>
      <c r="M17" s="31">
        <f>IF(OR(B17="",K17=""),"",B17-K17)</f>
        <v/>
      </c>
      <c r="N17" s="29">
        <f>IF(OR(C17="",L17=""),"",C17-L17)</f>
        <v/>
      </c>
      <c r="P17" t="inlineStr">
        <is>
          <t>Tambor de Freio Traseiro</t>
        </is>
      </c>
    </row>
    <row r="18" ht="22" customHeight="1">
      <c r="A18" s="22" t="n">
        <v>15</v>
      </c>
      <c r="B18" s="23" t="n"/>
      <c r="C18" s="24" t="n"/>
      <c r="D18" s="22" t="n"/>
      <c r="E18" s="22" t="n"/>
      <c r="F18" s="22" t="n"/>
      <c r="G18" s="25" t="n"/>
      <c r="H18" s="25" t="n"/>
      <c r="I18" s="25" t="n"/>
      <c r="J18" s="25">
        <f>IF(G18&lt;&gt;"",G18,IF(OR(H18="",I18=""),"",H18+I18))</f>
        <v/>
      </c>
      <c r="K18" s="23" t="n"/>
      <c r="L18" s="24" t="n"/>
      <c r="M18" s="26">
        <f>IF(OR(B18="",K18=""),"",B18-K18)</f>
        <v/>
      </c>
      <c r="N18" s="24">
        <f>IF(OR(C18="",L18=""),"",C18-L18)</f>
        <v/>
      </c>
      <c r="P18" t="inlineStr">
        <is>
          <t>Fluido de Freio DOT4</t>
        </is>
      </c>
    </row>
    <row r="19" ht="22" customHeight="1">
      <c r="A19" s="27" t="n">
        <v>16</v>
      </c>
      <c r="B19" s="28" t="n"/>
      <c r="C19" s="29" t="n"/>
      <c r="D19" s="27" t="n"/>
      <c r="E19" s="27" t="n"/>
      <c r="F19" s="27" t="n"/>
      <c r="G19" s="30" t="n"/>
      <c r="H19" s="30" t="n"/>
      <c r="I19" s="30" t="n"/>
      <c r="J19" s="30">
        <f>IF(G19&lt;&gt;"",G19,IF(OR(H19="",I19=""),"",H19+I19))</f>
        <v/>
      </c>
      <c r="K19" s="28" t="n"/>
      <c r="L19" s="29" t="n"/>
      <c r="M19" s="31">
        <f>IF(OR(B19="",K19=""),"",B19-K19)</f>
        <v/>
      </c>
      <c r="N19" s="29">
        <f>IF(OR(C19="",L19=""),"",C19-L19)</f>
        <v/>
      </c>
      <c r="P19" t="inlineStr">
        <is>
          <t>Cilindro Mestre de Freio</t>
        </is>
      </c>
    </row>
    <row r="20" ht="22" customHeight="1">
      <c r="A20" s="22" t="n">
        <v>17</v>
      </c>
      <c r="B20" s="23" t="n"/>
      <c r="C20" s="24" t="n"/>
      <c r="D20" s="22" t="n"/>
      <c r="E20" s="22" t="n"/>
      <c r="F20" s="22" t="n"/>
      <c r="G20" s="25" t="n"/>
      <c r="H20" s="25" t="n"/>
      <c r="I20" s="25" t="n"/>
      <c r="J20" s="25">
        <f>IF(G20&lt;&gt;"",G20,IF(OR(H20="",I20=""),"",H20+I20))</f>
        <v/>
      </c>
      <c r="K20" s="23" t="n"/>
      <c r="L20" s="24" t="n"/>
      <c r="M20" s="26">
        <f>IF(OR(B20="",K20=""),"",B20-K20)</f>
        <v/>
      </c>
      <c r="N20" s="24">
        <f>IF(OR(C20="",L20=""),"",C20-L20)</f>
        <v/>
      </c>
      <c r="P20" t="inlineStr">
        <is>
          <t>Óleo da Direção Hidráulica</t>
        </is>
      </c>
    </row>
    <row r="21" ht="22" customHeight="1">
      <c r="A21" s="27" t="n">
        <v>18</v>
      </c>
      <c r="B21" s="28" t="n"/>
      <c r="C21" s="29" t="n"/>
      <c r="D21" s="27" t="n"/>
      <c r="E21" s="27" t="n"/>
      <c r="F21" s="27" t="n"/>
      <c r="G21" s="30" t="n"/>
      <c r="H21" s="30" t="n"/>
      <c r="I21" s="30" t="n"/>
      <c r="J21" s="30">
        <f>IF(G21&lt;&gt;"",G21,IF(OR(H21="",I21=""),"",H21+I21))</f>
        <v/>
      </c>
      <c r="K21" s="28" t="n"/>
      <c r="L21" s="29" t="n"/>
      <c r="M21" s="31">
        <f>IF(OR(B21="",K21=""),"",B21-K21)</f>
        <v/>
      </c>
      <c r="N21" s="29">
        <f>IF(OR(C21="",L21=""),"",C21-L21)</f>
        <v/>
      </c>
      <c r="P21" t="inlineStr">
        <is>
          <t>Bomba da Direção Hidráulica</t>
        </is>
      </c>
    </row>
    <row r="22" ht="22" customHeight="1">
      <c r="A22" s="22" t="n">
        <v>19</v>
      </c>
      <c r="B22" s="23" t="n"/>
      <c r="C22" s="24" t="n"/>
      <c r="D22" s="22" t="n"/>
      <c r="E22" s="22" t="n"/>
      <c r="F22" s="22" t="n"/>
      <c r="G22" s="25" t="n"/>
      <c r="H22" s="25" t="n"/>
      <c r="I22" s="25" t="n"/>
      <c r="J22" s="25">
        <f>IF(G22&lt;&gt;"",G22,IF(OR(H22="",I22=""),"",H22+I22))</f>
        <v/>
      </c>
      <c r="K22" s="23" t="n"/>
      <c r="L22" s="24" t="n"/>
      <c r="M22" s="26">
        <f>IF(OR(B22="",K22=""),"",B22-K22)</f>
        <v/>
      </c>
      <c r="N22" s="24">
        <f>IF(OR(C22="",L22=""),"",C22-L22)</f>
        <v/>
      </c>
      <c r="P22" t="inlineStr">
        <is>
          <t>Amortecedores Dianteiros (par)</t>
        </is>
      </c>
    </row>
    <row r="23" ht="22" customHeight="1">
      <c r="A23" s="27" t="n">
        <v>20</v>
      </c>
      <c r="B23" s="28" t="n"/>
      <c r="C23" s="29" t="n"/>
      <c r="D23" s="27" t="n"/>
      <c r="E23" s="27" t="n"/>
      <c r="F23" s="27" t="n"/>
      <c r="G23" s="30" t="n"/>
      <c r="H23" s="30" t="n"/>
      <c r="I23" s="30" t="n"/>
      <c r="J23" s="30">
        <f>IF(G23&lt;&gt;"",G23,IF(OR(H23="",I23=""),"",H23+I23))</f>
        <v/>
      </c>
      <c r="K23" s="28" t="n"/>
      <c r="L23" s="29" t="n"/>
      <c r="M23" s="31">
        <f>IF(OR(B23="",K23=""),"",B23-K23)</f>
        <v/>
      </c>
      <c r="N23" s="29">
        <f>IF(OR(C23="",L23=""),"",C23-L23)</f>
        <v/>
      </c>
      <c r="P23" t="inlineStr">
        <is>
          <t>Amortecedores Traseiros (par)</t>
        </is>
      </c>
    </row>
    <row r="24" ht="22" customHeight="1">
      <c r="A24" s="22" t="n">
        <v>21</v>
      </c>
      <c r="B24" s="23" t="n"/>
      <c r="C24" s="24" t="n"/>
      <c r="D24" s="22" t="n"/>
      <c r="E24" s="22" t="n"/>
      <c r="F24" s="22" t="n"/>
      <c r="G24" s="25" t="n"/>
      <c r="H24" s="25" t="n"/>
      <c r="I24" s="25" t="n"/>
      <c r="J24" s="25">
        <f>IF(G24&lt;&gt;"",G24,IF(OR(H24="",I24=""),"",H24+I24))</f>
        <v/>
      </c>
      <c r="K24" s="23" t="n"/>
      <c r="L24" s="24" t="n"/>
      <c r="M24" s="26">
        <f>IF(OR(B24="",K24=""),"",B24-K24)</f>
        <v/>
      </c>
      <c r="N24" s="24">
        <f>IF(OR(C24="",L24=""),"",C24-L24)</f>
        <v/>
      </c>
      <c r="P24" t="inlineStr">
        <is>
          <t>Feixe de Molas Traseiro</t>
        </is>
      </c>
    </row>
    <row r="25" ht="22" customHeight="1">
      <c r="A25" s="27" t="n">
        <v>22</v>
      </c>
      <c r="B25" s="28" t="n"/>
      <c r="C25" s="29" t="n"/>
      <c r="D25" s="27" t="n"/>
      <c r="E25" s="27" t="n"/>
      <c r="F25" s="27" t="n"/>
      <c r="G25" s="30" t="n"/>
      <c r="H25" s="30" t="n"/>
      <c r="I25" s="30" t="n"/>
      <c r="J25" s="30">
        <f>IF(G25&lt;&gt;"",G25,IF(OR(H25="",I25=""),"",H25+I25))</f>
        <v/>
      </c>
      <c r="K25" s="28" t="n"/>
      <c r="L25" s="29" t="n"/>
      <c r="M25" s="31">
        <f>IF(OR(B25="",K25=""),"",B25-K25)</f>
        <v/>
      </c>
      <c r="N25" s="29">
        <f>IF(OR(C25="",L25=""),"",C25-L25)</f>
        <v/>
      </c>
      <c r="P25" t="inlineStr">
        <is>
          <t>Molas Dianteiras (par)</t>
        </is>
      </c>
    </row>
    <row r="26" ht="22" customHeight="1">
      <c r="A26" s="22" t="n">
        <v>23</v>
      </c>
      <c r="B26" s="23" t="n"/>
      <c r="C26" s="24" t="n"/>
      <c r="D26" s="22" t="n"/>
      <c r="E26" s="22" t="n"/>
      <c r="F26" s="22" t="n"/>
      <c r="G26" s="25" t="n"/>
      <c r="H26" s="25" t="n"/>
      <c r="I26" s="25" t="n"/>
      <c r="J26" s="25">
        <f>IF(G26&lt;&gt;"",G26,IF(OR(H26="",I26=""),"",H26+I26))</f>
        <v/>
      </c>
      <c r="K26" s="23" t="n"/>
      <c r="L26" s="24" t="n"/>
      <c r="M26" s="26">
        <f>IF(OR(B26="",K26=""),"",B26-K26)</f>
        <v/>
      </c>
      <c r="N26" s="24">
        <f>IF(OR(C26="",L26=""),"",C26-L26)</f>
        <v/>
      </c>
      <c r="P26" t="inlineStr">
        <is>
          <t>Buchas da Suspensão (jogo)</t>
        </is>
      </c>
    </row>
    <row r="27" ht="22" customHeight="1">
      <c r="A27" s="27" t="n">
        <v>24</v>
      </c>
      <c r="B27" s="28" t="n"/>
      <c r="C27" s="29" t="n"/>
      <c r="D27" s="27" t="n"/>
      <c r="E27" s="27" t="n"/>
      <c r="F27" s="27" t="n"/>
      <c r="G27" s="30" t="n"/>
      <c r="H27" s="30" t="n"/>
      <c r="I27" s="30" t="n"/>
      <c r="J27" s="30">
        <f>IF(G27&lt;&gt;"",G27,IF(OR(H27="",I27=""),"",H27+I27))</f>
        <v/>
      </c>
      <c r="K27" s="28" t="n"/>
      <c r="L27" s="29" t="n"/>
      <c r="M27" s="31">
        <f>IF(OR(B27="",K27=""),"",B27-K27)</f>
        <v/>
      </c>
      <c r="N27" s="29">
        <f>IF(OR(C27="",L27=""),"",C27-L27)</f>
        <v/>
      </c>
      <c r="P27" t="inlineStr">
        <is>
          <t>Pivô de Direção (par)</t>
        </is>
      </c>
    </row>
    <row r="28" ht="22" customHeight="1">
      <c r="A28" s="22" t="n">
        <v>25</v>
      </c>
      <c r="B28" s="23" t="n"/>
      <c r="C28" s="24" t="n"/>
      <c r="D28" s="22" t="n"/>
      <c r="E28" s="22" t="n"/>
      <c r="F28" s="22" t="n"/>
      <c r="G28" s="25" t="n"/>
      <c r="H28" s="25" t="n"/>
      <c r="I28" s="25" t="n"/>
      <c r="J28" s="25">
        <f>IF(G28&lt;&gt;"",G28,IF(OR(H28="",I28=""),"",H28+I28))</f>
        <v/>
      </c>
      <c r="K28" s="23" t="n"/>
      <c r="L28" s="24" t="n"/>
      <c r="M28" s="26">
        <f>IF(OR(B28="",K28=""),"",B28-K28)</f>
        <v/>
      </c>
      <c r="N28" s="24">
        <f>IF(OR(C28="",L28=""),"",C28-L28)</f>
        <v/>
      </c>
      <c r="P28" t="inlineStr">
        <is>
          <t>Terminais de Direção (par)</t>
        </is>
      </c>
    </row>
    <row r="29" ht="22" customHeight="1">
      <c r="A29" s="27" t="n">
        <v>26</v>
      </c>
      <c r="B29" s="28" t="n"/>
      <c r="C29" s="29" t="n"/>
      <c r="D29" s="27" t="n"/>
      <c r="E29" s="27" t="n"/>
      <c r="F29" s="27" t="n"/>
      <c r="G29" s="30" t="n"/>
      <c r="H29" s="30" t="n"/>
      <c r="I29" s="30" t="n"/>
      <c r="J29" s="30">
        <f>IF(G29&lt;&gt;"",G29,IF(OR(H29="",I29=""),"",H29+I29))</f>
        <v/>
      </c>
      <c r="K29" s="28" t="n"/>
      <c r="L29" s="29" t="n"/>
      <c r="M29" s="31">
        <f>IF(OR(B29="",K29=""),"",B29-K29)</f>
        <v/>
      </c>
      <c r="N29" s="29">
        <f>IF(OR(C29="",L29=""),"",C29-L29)</f>
        <v/>
      </c>
      <c r="P29" t="inlineStr">
        <is>
          <t>Barra de Direção</t>
        </is>
      </c>
    </row>
    <row r="30" ht="22" customHeight="1">
      <c r="A30" s="22" t="n">
        <v>27</v>
      </c>
      <c r="B30" s="23" t="n"/>
      <c r="C30" s="24" t="n"/>
      <c r="D30" s="22" t="n"/>
      <c r="E30" s="22" t="n"/>
      <c r="F30" s="22" t="n"/>
      <c r="G30" s="25" t="n"/>
      <c r="H30" s="25" t="n"/>
      <c r="I30" s="25" t="n"/>
      <c r="J30" s="25">
        <f>IF(G30&lt;&gt;"",G30,IF(OR(H30="",I30=""),"",H30+I30))</f>
        <v/>
      </c>
      <c r="K30" s="23" t="n"/>
      <c r="L30" s="24" t="n"/>
      <c r="M30" s="26">
        <f>IF(OR(B30="",K30=""),"",B30-K30)</f>
        <v/>
      </c>
      <c r="N30" s="24">
        <f>IF(OR(C30="",L30=""),"",C30-L30)</f>
        <v/>
      </c>
      <c r="P30" t="inlineStr">
        <is>
          <t>Braço Auxiliar de Direção</t>
        </is>
      </c>
    </row>
    <row r="31" ht="22" customHeight="1">
      <c r="A31" s="27" t="n">
        <v>28</v>
      </c>
      <c r="B31" s="28" t="n"/>
      <c r="C31" s="29" t="n"/>
      <c r="D31" s="27" t="n"/>
      <c r="E31" s="27" t="n"/>
      <c r="F31" s="27" t="n"/>
      <c r="G31" s="30" t="n"/>
      <c r="H31" s="30" t="n"/>
      <c r="I31" s="30" t="n"/>
      <c r="J31" s="30">
        <f>IF(G31&lt;&gt;"",G31,IF(OR(H31="",I31=""),"",H31+I31))</f>
        <v/>
      </c>
      <c r="K31" s="28" t="n"/>
      <c r="L31" s="29" t="n"/>
      <c r="M31" s="31">
        <f>IF(OR(B31="",K31=""),"",B31-K31)</f>
        <v/>
      </c>
      <c r="N31" s="29">
        <f>IF(OR(C31="",L31=""),"",C31-L31)</f>
        <v/>
      </c>
      <c r="P31" t="inlineStr">
        <is>
          <t>Bateria 60Ah</t>
        </is>
      </c>
    </row>
    <row r="32" ht="22" customHeight="1">
      <c r="A32" s="22" t="n">
        <v>29</v>
      </c>
      <c r="B32" s="23" t="n"/>
      <c r="C32" s="24" t="n"/>
      <c r="D32" s="22" t="n"/>
      <c r="E32" s="22" t="n"/>
      <c r="F32" s="22" t="n"/>
      <c r="G32" s="25" t="n"/>
      <c r="H32" s="25" t="n"/>
      <c r="I32" s="25" t="n"/>
      <c r="J32" s="25">
        <f>IF(G32&lt;&gt;"",G32,IF(OR(H32="",I32=""),"",H32+I32))</f>
        <v/>
      </c>
      <c r="K32" s="23" t="n"/>
      <c r="L32" s="24" t="n"/>
      <c r="M32" s="26">
        <f>IF(OR(B32="",K32=""),"",B32-K32)</f>
        <v/>
      </c>
      <c r="N32" s="24">
        <f>IF(OR(C32="",L32=""),"",C32-L32)</f>
        <v/>
      </c>
      <c r="P32" t="inlineStr">
        <is>
          <t>Alternador</t>
        </is>
      </c>
    </row>
    <row r="33" ht="22" customHeight="1">
      <c r="A33" s="27" t="n">
        <v>30</v>
      </c>
      <c r="B33" s="28" t="n"/>
      <c r="C33" s="29" t="n"/>
      <c r="D33" s="27" t="n"/>
      <c r="E33" s="27" t="n"/>
      <c r="F33" s="27" t="n"/>
      <c r="G33" s="30" t="n"/>
      <c r="H33" s="30" t="n"/>
      <c r="I33" s="30" t="n"/>
      <c r="J33" s="30">
        <f>IF(G33&lt;&gt;"",G33,IF(OR(H33="",I33=""),"",H33+I33))</f>
        <v/>
      </c>
      <c r="K33" s="28" t="n"/>
      <c r="L33" s="29" t="n"/>
      <c r="M33" s="31">
        <f>IF(OR(B33="",K33=""),"",B33-K33)</f>
        <v/>
      </c>
      <c r="N33" s="29">
        <f>IF(OR(C33="",L33=""),"",C33-L33)</f>
        <v/>
      </c>
      <c r="P33" t="inlineStr">
        <is>
          <t>Motor de Arranque</t>
        </is>
      </c>
    </row>
    <row r="34" ht="22" customHeight="1">
      <c r="A34" s="22" t="n">
        <v>31</v>
      </c>
      <c r="B34" s="23" t="n"/>
      <c r="C34" s="24" t="n"/>
      <c r="D34" s="22" t="n"/>
      <c r="E34" s="22" t="n"/>
      <c r="F34" s="22" t="n"/>
      <c r="G34" s="25" t="n"/>
      <c r="H34" s="25" t="n"/>
      <c r="I34" s="25" t="n"/>
      <c r="J34" s="25">
        <f>IF(G34&lt;&gt;"",G34,IF(OR(H34="",I34=""),"",H34+I34))</f>
        <v/>
      </c>
      <c r="K34" s="23" t="n"/>
      <c r="L34" s="24" t="n"/>
      <c r="M34" s="26">
        <f>IF(OR(B34="",K34=""),"",B34-K34)</f>
        <v/>
      </c>
      <c r="N34" s="24">
        <f>IF(OR(C34="",L34=""),"",C34-L34)</f>
        <v/>
      </c>
      <c r="P34" t="inlineStr">
        <is>
          <t>Velas de Aquecimento (jogo 4)</t>
        </is>
      </c>
    </row>
    <row r="35" ht="22" customHeight="1">
      <c r="A35" s="27" t="n">
        <v>32</v>
      </c>
      <c r="B35" s="28" t="n"/>
      <c r="C35" s="29" t="n"/>
      <c r="D35" s="27" t="n"/>
      <c r="E35" s="27" t="n"/>
      <c r="F35" s="27" t="n"/>
      <c r="G35" s="30" t="n"/>
      <c r="H35" s="30" t="n"/>
      <c r="I35" s="30" t="n"/>
      <c r="J35" s="30">
        <f>IF(G35&lt;&gt;"",G35,IF(OR(H35="",I35=""),"",H35+I35))</f>
        <v/>
      </c>
      <c r="K35" s="28" t="n"/>
      <c r="L35" s="29" t="n"/>
      <c r="M35" s="31">
        <f>IF(OR(B35="",K35=""),"",B35-K35)</f>
        <v/>
      </c>
      <c r="N35" s="29">
        <f>IF(OR(C35="",L35=""),"",C35-L35)</f>
        <v/>
      </c>
      <c r="P35" t="inlineStr">
        <is>
          <t>Bomba Injetora</t>
        </is>
      </c>
    </row>
    <row r="36" ht="22" customHeight="1">
      <c r="A36" s="22" t="n">
        <v>33</v>
      </c>
      <c r="B36" s="23" t="n"/>
      <c r="C36" s="24" t="n"/>
      <c r="D36" s="22" t="n"/>
      <c r="E36" s="22" t="n"/>
      <c r="F36" s="22" t="n"/>
      <c r="G36" s="25" t="n"/>
      <c r="H36" s="25" t="n"/>
      <c r="I36" s="25" t="n"/>
      <c r="J36" s="25">
        <f>IF(G36&lt;&gt;"",G36,IF(OR(H36="",I36=""),"",H36+I36))</f>
        <v/>
      </c>
      <c r="K36" s="23" t="n"/>
      <c r="L36" s="24" t="n"/>
      <c r="M36" s="26">
        <f>IF(OR(B36="",K36=""),"",B36-K36)</f>
        <v/>
      </c>
      <c r="N36" s="24">
        <f>IF(OR(C36="",L36=""),"",C36-L36)</f>
        <v/>
      </c>
      <c r="P36" t="inlineStr">
        <is>
          <t>Bicos Injetores (jogo 4)</t>
        </is>
      </c>
    </row>
    <row r="37" ht="22" customHeight="1">
      <c r="A37" s="27" t="n">
        <v>34</v>
      </c>
      <c r="B37" s="28" t="n"/>
      <c r="C37" s="29" t="n"/>
      <c r="D37" s="27" t="n"/>
      <c r="E37" s="27" t="n"/>
      <c r="F37" s="27" t="n"/>
      <c r="G37" s="30" t="n"/>
      <c r="H37" s="30" t="n"/>
      <c r="I37" s="30" t="n"/>
      <c r="J37" s="30">
        <f>IF(G37&lt;&gt;"",G37,IF(OR(H37="",I37=""),"",H37+I37))</f>
        <v/>
      </c>
      <c r="K37" s="28" t="n"/>
      <c r="L37" s="29" t="n"/>
      <c r="M37" s="31">
        <f>IF(OR(B37="",K37=""),"",B37-K37)</f>
        <v/>
      </c>
      <c r="N37" s="29">
        <f>IF(OR(C37="",L37=""),"",C37-L37)</f>
        <v/>
      </c>
      <c r="P37" t="inlineStr">
        <is>
          <t>Turbina / Turbocompressor</t>
        </is>
      </c>
    </row>
    <row r="38" ht="22" customHeight="1">
      <c r="A38" s="22" t="n">
        <v>35</v>
      </c>
      <c r="B38" s="23" t="n"/>
      <c r="C38" s="24" t="n"/>
      <c r="D38" s="22" t="n"/>
      <c r="E38" s="22" t="n"/>
      <c r="F38" s="22" t="n"/>
      <c r="G38" s="25" t="n"/>
      <c r="H38" s="25" t="n"/>
      <c r="I38" s="25" t="n"/>
      <c r="J38" s="25">
        <f>IF(G38&lt;&gt;"",G38,IF(OR(H38="",I38=""),"",H38+I38))</f>
        <v/>
      </c>
      <c r="K38" s="23" t="n"/>
      <c r="L38" s="24" t="n"/>
      <c r="M38" s="26">
        <f>IF(OR(B38="",K38=""),"",B38-K38)</f>
        <v/>
      </c>
      <c r="N38" s="24">
        <f>IF(OR(C38="",L38=""),"",C38-L38)</f>
        <v/>
      </c>
      <c r="P38" t="inlineStr">
        <is>
          <t>Intercooler</t>
        </is>
      </c>
    </row>
    <row r="39" ht="22" customHeight="1">
      <c r="A39" s="27" t="n">
        <v>36</v>
      </c>
      <c r="B39" s="28" t="n"/>
      <c r="C39" s="29" t="n"/>
      <c r="D39" s="27" t="n"/>
      <c r="E39" s="27" t="n"/>
      <c r="F39" s="27" t="n"/>
      <c r="G39" s="30" t="n"/>
      <c r="H39" s="30" t="n"/>
      <c r="I39" s="30" t="n"/>
      <c r="J39" s="30">
        <f>IF(G39&lt;&gt;"",G39,IF(OR(H39="",I39=""),"",H39+I39))</f>
        <v/>
      </c>
      <c r="K39" s="28" t="n"/>
      <c r="L39" s="29" t="n"/>
      <c r="M39" s="31">
        <f>IF(OR(B39="",K39=""),"",B39-K39)</f>
        <v/>
      </c>
      <c r="N39" s="29">
        <f>IF(OR(C39="",L39=""),"",C39-L39)</f>
        <v/>
      </c>
      <c r="P39" t="inlineStr">
        <is>
          <t>Radiador</t>
        </is>
      </c>
    </row>
    <row r="40" ht="22" customHeight="1">
      <c r="A40" s="22" t="n">
        <v>37</v>
      </c>
      <c r="B40" s="23" t="n"/>
      <c r="C40" s="24" t="n"/>
      <c r="D40" s="22" t="n"/>
      <c r="E40" s="22" t="n"/>
      <c r="F40" s="22" t="n"/>
      <c r="G40" s="25" t="n"/>
      <c r="H40" s="25" t="n"/>
      <c r="I40" s="25" t="n"/>
      <c r="J40" s="25">
        <f>IF(G40&lt;&gt;"",G40,IF(OR(H40="",I40=""),"",H40+I40))</f>
        <v/>
      </c>
      <c r="K40" s="23" t="n"/>
      <c r="L40" s="24" t="n"/>
      <c r="M40" s="26">
        <f>IF(OR(B40="",K40=""),"",B40-K40)</f>
        <v/>
      </c>
      <c r="N40" s="24">
        <f>IF(OR(C40="",L40=""),"",C40-L40)</f>
        <v/>
      </c>
      <c r="P40" t="inlineStr">
        <is>
          <t>Líquido de Arrefecimento</t>
        </is>
      </c>
    </row>
    <row r="41" ht="22" customHeight="1">
      <c r="A41" s="27" t="n">
        <v>38</v>
      </c>
      <c r="B41" s="28" t="n"/>
      <c r="C41" s="29" t="n"/>
      <c r="D41" s="27" t="n"/>
      <c r="E41" s="27" t="n"/>
      <c r="F41" s="27" t="n"/>
      <c r="G41" s="30" t="n"/>
      <c r="H41" s="30" t="n"/>
      <c r="I41" s="30" t="n"/>
      <c r="J41" s="30">
        <f>IF(G41&lt;&gt;"",G41,IF(OR(H41="",I41=""),"",H41+I41))</f>
        <v/>
      </c>
      <c r="K41" s="28" t="n"/>
      <c r="L41" s="29" t="n"/>
      <c r="M41" s="31">
        <f>IF(OR(B41="",K41=""),"",B41-K41)</f>
        <v/>
      </c>
      <c r="N41" s="29">
        <f>IF(OR(C41="",L41=""),"",C41-L41)</f>
        <v/>
      </c>
      <c r="P41" t="inlineStr">
        <is>
          <t>Válvula Termostática</t>
        </is>
      </c>
    </row>
    <row r="42" ht="22" customHeight="1">
      <c r="A42" s="22" t="n">
        <v>39</v>
      </c>
      <c r="B42" s="23" t="n"/>
      <c r="C42" s="24" t="n"/>
      <c r="D42" s="22" t="n"/>
      <c r="E42" s="22" t="n"/>
      <c r="F42" s="22" t="n"/>
      <c r="G42" s="25" t="n"/>
      <c r="H42" s="25" t="n"/>
      <c r="I42" s="25" t="n"/>
      <c r="J42" s="25">
        <f>IF(G42&lt;&gt;"",G42,IF(OR(H42="",I42=""),"",H42+I42))</f>
        <v/>
      </c>
      <c r="K42" s="23" t="n"/>
      <c r="L42" s="24" t="n"/>
      <c r="M42" s="26">
        <f>IF(OR(B42="",K42=""),"",B42-K42)</f>
        <v/>
      </c>
      <c r="N42" s="24">
        <f>IF(OR(C42="",L42=""),"",C42-L42)</f>
        <v/>
      </c>
      <c r="P42" t="inlineStr">
        <is>
          <t>Mangueiras do Radiador (superior/inferior)</t>
        </is>
      </c>
    </row>
    <row r="43" ht="22" customHeight="1">
      <c r="A43" s="27" t="n">
        <v>40</v>
      </c>
      <c r="B43" s="28" t="n"/>
      <c r="C43" s="29" t="n"/>
      <c r="D43" s="27" t="n"/>
      <c r="E43" s="27" t="n"/>
      <c r="F43" s="27" t="n"/>
      <c r="G43" s="30" t="n"/>
      <c r="H43" s="30" t="n"/>
      <c r="I43" s="30" t="n"/>
      <c r="J43" s="30">
        <f>IF(G43&lt;&gt;"",G43,IF(OR(H43="",I43=""),"",H43+I43))</f>
        <v/>
      </c>
      <c r="K43" s="28" t="n"/>
      <c r="L43" s="29" t="n"/>
      <c r="M43" s="31">
        <f>IF(OR(B43="",K43=""),"",B43-K43)</f>
        <v/>
      </c>
      <c r="N43" s="29">
        <f>IF(OR(C43="",L43=""),"",C43-L43)</f>
        <v/>
      </c>
      <c r="P43" t="inlineStr">
        <is>
          <t>Ventoinha do Radiador (Viscosa)</t>
        </is>
      </c>
    </row>
    <row r="44" ht="22" customHeight="1">
      <c r="A44" s="22" t="n">
        <v>41</v>
      </c>
      <c r="B44" s="23" t="n"/>
      <c r="C44" s="24" t="n"/>
      <c r="D44" s="22" t="n"/>
      <c r="E44" s="22" t="n"/>
      <c r="F44" s="22" t="n"/>
      <c r="G44" s="25" t="n"/>
      <c r="H44" s="25" t="n"/>
      <c r="I44" s="25" t="n"/>
      <c r="J44" s="25">
        <f>IF(G44&lt;&gt;"",G44,IF(OR(H44="",I44=""),"",H44+I44))</f>
        <v/>
      </c>
      <c r="K44" s="23" t="n"/>
      <c r="L44" s="24" t="n"/>
      <c r="M44" s="26">
        <f>IF(OR(B44="",K44=""),"",B44-K44)</f>
        <v/>
      </c>
      <c r="N44" s="24">
        <f>IF(OR(C44="",L44=""),"",C44-L44)</f>
        <v/>
      </c>
      <c r="P44" t="inlineStr">
        <is>
          <t>Óleo do Câmbio (Manual)</t>
        </is>
      </c>
    </row>
    <row r="45" ht="22" customHeight="1">
      <c r="A45" s="27" t="n">
        <v>42</v>
      </c>
      <c r="B45" s="28" t="n"/>
      <c r="C45" s="29" t="n"/>
      <c r="D45" s="27" t="n"/>
      <c r="E45" s="27" t="n"/>
      <c r="F45" s="27" t="n"/>
      <c r="G45" s="30" t="n"/>
      <c r="H45" s="30" t="n"/>
      <c r="I45" s="30" t="n"/>
      <c r="J45" s="30">
        <f>IF(G45&lt;&gt;"",G45,IF(OR(H45="",I45=""),"",H45+I45))</f>
        <v/>
      </c>
      <c r="K45" s="28" t="n"/>
      <c r="L45" s="29" t="n"/>
      <c r="M45" s="31">
        <f>IF(OR(B45="",K45=""),"",B45-K45)</f>
        <v/>
      </c>
      <c r="N45" s="29">
        <f>IF(OR(C45="",L45=""),"",C45-L45)</f>
        <v/>
      </c>
      <c r="P45" t="inlineStr">
        <is>
          <t>Óleo do Diferencial</t>
        </is>
      </c>
    </row>
    <row r="46" ht="22" customHeight="1">
      <c r="A46" s="22" t="n">
        <v>43</v>
      </c>
      <c r="B46" s="23" t="n"/>
      <c r="C46" s="24" t="n"/>
      <c r="D46" s="22" t="n"/>
      <c r="E46" s="22" t="n"/>
      <c r="F46" s="22" t="n"/>
      <c r="G46" s="25" t="n"/>
      <c r="H46" s="25" t="n"/>
      <c r="I46" s="25" t="n"/>
      <c r="J46" s="25">
        <f>IF(G46&lt;&gt;"",G46,IF(OR(H46="",I46=""),"",H46+I46))</f>
        <v/>
      </c>
      <c r="K46" s="23" t="n"/>
      <c r="L46" s="24" t="n"/>
      <c r="M46" s="26">
        <f>IF(OR(B46="",K46=""),"",B46-K46)</f>
        <v/>
      </c>
      <c r="N46" s="24">
        <f>IF(OR(C46="",L46=""),"",C46-L46)</f>
        <v/>
      </c>
      <c r="P46" t="inlineStr">
        <is>
          <t>Cruzetas do Cardan (jogo)</t>
        </is>
      </c>
    </row>
    <row r="47" ht="22" customHeight="1">
      <c r="A47" s="27" t="n">
        <v>44</v>
      </c>
      <c r="B47" s="28" t="n"/>
      <c r="C47" s="29" t="n"/>
      <c r="D47" s="27" t="n"/>
      <c r="E47" s="27" t="n"/>
      <c r="F47" s="27" t="n"/>
      <c r="G47" s="30" t="n"/>
      <c r="H47" s="30" t="n"/>
      <c r="I47" s="30" t="n"/>
      <c r="J47" s="30">
        <f>IF(G47&lt;&gt;"",G47,IF(OR(H47="",I47=""),"",H47+I47))</f>
        <v/>
      </c>
      <c r="K47" s="28" t="n"/>
      <c r="L47" s="29" t="n"/>
      <c r="M47" s="31">
        <f>IF(OR(B47="",K47=""),"",B47-K47)</f>
        <v/>
      </c>
      <c r="N47" s="29">
        <f>IF(OR(C47="",L47=""),"",C47-L47)</f>
        <v/>
      </c>
      <c r="P47" t="inlineStr">
        <is>
          <t>Rolamento da Roda Dianteira (par)</t>
        </is>
      </c>
    </row>
    <row r="48" ht="22" customHeight="1">
      <c r="A48" s="22" t="n">
        <v>45</v>
      </c>
      <c r="B48" s="23" t="n"/>
      <c r="C48" s="24" t="n"/>
      <c r="D48" s="22" t="n"/>
      <c r="E48" s="22" t="n"/>
      <c r="F48" s="22" t="n"/>
      <c r="G48" s="25" t="n"/>
      <c r="H48" s="25" t="n"/>
      <c r="I48" s="25" t="n"/>
      <c r="J48" s="25">
        <f>IF(G48&lt;&gt;"",G48,IF(OR(H48="",I48=""),"",H48+I48))</f>
        <v/>
      </c>
      <c r="K48" s="23" t="n"/>
      <c r="L48" s="24" t="n"/>
      <c r="M48" s="26">
        <f>IF(OR(B48="",K48=""),"",B48-K48)</f>
        <v/>
      </c>
      <c r="N48" s="24">
        <f>IF(OR(C48="",L48=""),"",C48-L48)</f>
        <v/>
      </c>
      <c r="P48" t="inlineStr">
        <is>
          <t>Rolamento da Roda Traseira (par)</t>
        </is>
      </c>
    </row>
    <row r="49" ht="22" customHeight="1">
      <c r="A49" s="27" t="n">
        <v>46</v>
      </c>
      <c r="B49" s="28" t="n"/>
      <c r="C49" s="29" t="n"/>
      <c r="D49" s="27" t="n"/>
      <c r="E49" s="27" t="n"/>
      <c r="F49" s="27" t="n"/>
      <c r="G49" s="30" t="n"/>
      <c r="H49" s="30" t="n"/>
      <c r="I49" s="30" t="n"/>
      <c r="J49" s="30">
        <f>IF(G49&lt;&gt;"",G49,IF(OR(H49="",I49=""),"",H49+I49))</f>
        <v/>
      </c>
      <c r="K49" s="28" t="n"/>
      <c r="L49" s="29" t="n"/>
      <c r="M49" s="31">
        <f>IF(OR(B49="",K49=""),"",B49-K49)</f>
        <v/>
      </c>
      <c r="N49" s="29">
        <f>IF(OR(C49="",L49=""),"",C49-L49)</f>
        <v/>
      </c>
      <c r="P49" t="inlineStr">
        <is>
          <t>Pneu Dianteiro (par)</t>
        </is>
      </c>
    </row>
    <row r="50" ht="22" customHeight="1">
      <c r="A50" s="22" t="n">
        <v>47</v>
      </c>
      <c r="B50" s="23" t="n"/>
      <c r="C50" s="24" t="n"/>
      <c r="D50" s="22" t="n"/>
      <c r="E50" s="22" t="n"/>
      <c r="F50" s="22" t="n"/>
      <c r="G50" s="25" t="n"/>
      <c r="H50" s="25" t="n"/>
      <c r="I50" s="25" t="n"/>
      <c r="J50" s="25">
        <f>IF(G50&lt;&gt;"",G50,IF(OR(H50="",I50=""),"",H50+I50))</f>
        <v/>
      </c>
      <c r="K50" s="23" t="n"/>
      <c r="L50" s="24" t="n"/>
      <c r="M50" s="26">
        <f>IF(OR(B50="",K50=""),"",B50-K50)</f>
        <v/>
      </c>
      <c r="N50" s="24">
        <f>IF(OR(C50="",L50=""),"",C50-L50)</f>
        <v/>
      </c>
      <c r="P50" t="inlineStr">
        <is>
          <t>Pneu Traseiro (par)</t>
        </is>
      </c>
    </row>
    <row r="51" ht="22" customHeight="1">
      <c r="A51" s="27" t="n">
        <v>48</v>
      </c>
      <c r="B51" s="28" t="n"/>
      <c r="C51" s="29" t="n"/>
      <c r="D51" s="27" t="n"/>
      <c r="E51" s="27" t="n"/>
      <c r="F51" s="27" t="n"/>
      <c r="G51" s="30" t="n"/>
      <c r="H51" s="30" t="n"/>
      <c r="I51" s="30" t="n"/>
      <c r="J51" s="30">
        <f>IF(G51&lt;&gt;"",G51,IF(OR(H51="",I51=""),"",H51+I51))</f>
        <v/>
      </c>
      <c r="K51" s="28" t="n"/>
      <c r="L51" s="29" t="n"/>
      <c r="M51" s="31">
        <f>IF(OR(B51="",K51=""),"",B51-K51)</f>
        <v/>
      </c>
      <c r="N51" s="29">
        <f>IF(OR(C51="",L51=""),"",C51-L51)</f>
        <v/>
      </c>
      <c r="P51" t="inlineStr">
        <is>
          <t>Alinhamento e Balanceamento</t>
        </is>
      </c>
    </row>
    <row r="52" ht="22" customHeight="1">
      <c r="A52" s="22" t="n">
        <v>49</v>
      </c>
      <c r="B52" s="23" t="n"/>
      <c r="C52" s="24" t="n"/>
      <c r="D52" s="22" t="n"/>
      <c r="E52" s="22" t="n"/>
      <c r="F52" s="22" t="n"/>
      <c r="G52" s="25" t="n"/>
      <c r="H52" s="25" t="n"/>
      <c r="I52" s="25" t="n"/>
      <c r="J52" s="25">
        <f>IF(G52&lt;&gt;"",G52,IF(OR(H52="",I52=""),"",H52+I52))</f>
        <v/>
      </c>
      <c r="K52" s="23" t="n"/>
      <c r="L52" s="24" t="n"/>
      <c r="M52" s="26">
        <f>IF(OR(B52="",K52=""),"",B52-K52)</f>
        <v/>
      </c>
      <c r="N52" s="24">
        <f>IF(OR(C52="",L52=""),"",C52-L52)</f>
        <v/>
      </c>
      <c r="P52" t="inlineStr">
        <is>
          <t>Escapamento Completo</t>
        </is>
      </c>
    </row>
    <row r="53" ht="22" customHeight="1">
      <c r="A53" s="27" t="n">
        <v>50</v>
      </c>
      <c r="B53" s="28" t="n"/>
      <c r="C53" s="29" t="n"/>
      <c r="D53" s="27" t="n"/>
      <c r="E53" s="27" t="n"/>
      <c r="F53" s="27" t="n"/>
      <c r="G53" s="30" t="n"/>
      <c r="H53" s="30" t="n"/>
      <c r="I53" s="30" t="n"/>
      <c r="J53" s="30">
        <f>IF(G53&lt;&gt;"",G53,IF(OR(H53="",I53=""),"",H53+I53))</f>
        <v/>
      </c>
      <c r="K53" s="28" t="n"/>
      <c r="L53" s="29" t="n"/>
      <c r="M53" s="31">
        <f>IF(OR(B53="",K53=""),"",B53-K53)</f>
        <v/>
      </c>
      <c r="N53" s="29">
        <f>IF(OR(C53="",L53=""),"",C53-L53)</f>
        <v/>
      </c>
      <c r="P53" t="inlineStr">
        <is>
          <t>Catalisador / DPF</t>
        </is>
      </c>
    </row>
    <row r="54" ht="22" customHeight="1">
      <c r="A54" s="22" t="n">
        <v>51</v>
      </c>
      <c r="B54" s="23" t="n"/>
      <c r="C54" s="24" t="n"/>
      <c r="D54" s="22" t="n"/>
      <c r="E54" s="22" t="n"/>
      <c r="F54" s="22" t="n"/>
      <c r="G54" s="25" t="n"/>
      <c r="H54" s="25" t="n"/>
      <c r="I54" s="25" t="n"/>
      <c r="J54" s="25">
        <f>IF(G54&lt;&gt;"",G54,IF(OR(H54="",I54=""),"",H54+I54))</f>
        <v/>
      </c>
      <c r="K54" s="23" t="n"/>
      <c r="L54" s="24" t="n"/>
      <c r="M54" s="26">
        <f>IF(OR(B54="",K54=""),"",B54-K54)</f>
        <v/>
      </c>
      <c r="N54" s="24">
        <f>IF(OR(C54="",L54=""),"",C54-L54)</f>
        <v/>
      </c>
      <c r="P54" t="inlineStr">
        <is>
          <t>Sensor de Temperatura</t>
        </is>
      </c>
    </row>
    <row r="55" ht="22" customHeight="1">
      <c r="A55" s="27" t="n">
        <v>52</v>
      </c>
      <c r="B55" s="28" t="n"/>
      <c r="C55" s="29" t="n"/>
      <c r="D55" s="27" t="n"/>
      <c r="E55" s="27" t="n"/>
      <c r="F55" s="27" t="n"/>
      <c r="G55" s="30" t="n"/>
      <c r="H55" s="30" t="n"/>
      <c r="I55" s="30" t="n"/>
      <c r="J55" s="30">
        <f>IF(G55&lt;&gt;"",G55,IF(OR(H55="",I55=""),"",H55+I55))</f>
        <v/>
      </c>
      <c r="K55" s="28" t="n"/>
      <c r="L55" s="29" t="n"/>
      <c r="M55" s="31">
        <f>IF(OR(B55="",K55=""),"",B55-K55)</f>
        <v/>
      </c>
      <c r="N55" s="29">
        <f>IF(OR(C55="",L55=""),"",C55-L55)</f>
        <v/>
      </c>
      <c r="P55" t="inlineStr">
        <is>
          <t>Sensor MAP / Pressão Turbo</t>
        </is>
      </c>
    </row>
    <row r="56" ht="22" customHeight="1">
      <c r="A56" s="22" t="n">
        <v>53</v>
      </c>
      <c r="B56" s="23" t="n"/>
      <c r="C56" s="24" t="n"/>
      <c r="D56" s="22" t="n"/>
      <c r="E56" s="22" t="n"/>
      <c r="F56" s="22" t="n"/>
      <c r="G56" s="25" t="n"/>
      <c r="H56" s="25" t="n"/>
      <c r="I56" s="25" t="n"/>
      <c r="J56" s="25">
        <f>IF(G56&lt;&gt;"",G56,IF(OR(H56="",I56=""),"",H56+I56))</f>
        <v/>
      </c>
      <c r="K56" s="23" t="n"/>
      <c r="L56" s="24" t="n"/>
      <c r="M56" s="26">
        <f>IF(OR(B56="",K56=""),"",B56-K56)</f>
        <v/>
      </c>
      <c r="N56" s="24">
        <f>IF(OR(C56="",L56=""),"",C56-L56)</f>
        <v/>
      </c>
      <c r="P56" t="inlineStr">
        <is>
          <t>Junta do Cabeçote</t>
        </is>
      </c>
    </row>
    <row r="57" ht="22" customHeight="1">
      <c r="A57" s="27" t="n">
        <v>54</v>
      </c>
      <c r="B57" s="28" t="n"/>
      <c r="C57" s="29" t="n"/>
      <c r="D57" s="27" t="n"/>
      <c r="E57" s="27" t="n"/>
      <c r="F57" s="27" t="n"/>
      <c r="G57" s="30" t="n"/>
      <c r="H57" s="30" t="n"/>
      <c r="I57" s="30" t="n"/>
      <c r="J57" s="30">
        <f>IF(G57&lt;&gt;"",G57,IF(OR(H57="",I57=""),"",H57+I57))</f>
        <v/>
      </c>
      <c r="K57" s="28" t="n"/>
      <c r="L57" s="29" t="n"/>
      <c r="M57" s="31">
        <f>IF(OR(B57="",K57=""),"",B57-K57)</f>
        <v/>
      </c>
      <c r="N57" s="29">
        <f>IF(OR(C57="",L57=""),"",C57-L57)</f>
        <v/>
      </c>
      <c r="P57" t="inlineStr">
        <is>
          <t>Válvula EGR</t>
        </is>
      </c>
    </row>
    <row r="58" ht="22" customHeight="1">
      <c r="A58" s="22" t="n">
        <v>55</v>
      </c>
      <c r="B58" s="23" t="n"/>
      <c r="C58" s="24" t="n"/>
      <c r="D58" s="22" t="n"/>
      <c r="E58" s="22" t="n"/>
      <c r="F58" s="22" t="n"/>
      <c r="G58" s="25" t="n"/>
      <c r="H58" s="25" t="n"/>
      <c r="I58" s="25" t="n"/>
      <c r="J58" s="25">
        <f>IF(G58&lt;&gt;"",G58,IF(OR(H58="",I58=""),"",H58+I58))</f>
        <v/>
      </c>
      <c r="K58" s="23" t="n"/>
      <c r="L58" s="24" t="n"/>
      <c r="M58" s="26">
        <f>IF(OR(B58="",K58=""),"",B58-K58)</f>
        <v/>
      </c>
      <c r="N58" s="24">
        <f>IF(OR(C58="",L58=""),"",C58-L58)</f>
        <v/>
      </c>
    </row>
    <row r="59" ht="22" customHeight="1">
      <c r="A59" s="27" t="n">
        <v>56</v>
      </c>
      <c r="B59" s="28" t="n"/>
      <c r="C59" s="29" t="n"/>
      <c r="D59" s="27" t="n"/>
      <c r="E59" s="27" t="n"/>
      <c r="F59" s="27" t="n"/>
      <c r="G59" s="30" t="n"/>
      <c r="H59" s="30" t="n"/>
      <c r="I59" s="30" t="n"/>
      <c r="J59" s="30">
        <f>IF(G59&lt;&gt;"",G59,IF(OR(H59="",I59=""),"",H59+I59))</f>
        <v/>
      </c>
      <c r="K59" s="28" t="n"/>
      <c r="L59" s="29" t="n"/>
      <c r="M59" s="31">
        <f>IF(OR(B59="",K59=""),"",B59-K59)</f>
        <v/>
      </c>
      <c r="N59" s="29">
        <f>IF(OR(C59="",L59=""),"",C59-L59)</f>
        <v/>
      </c>
    </row>
    <row r="60" ht="22" customHeight="1">
      <c r="A60" s="22" t="n">
        <v>57</v>
      </c>
      <c r="B60" s="23" t="n"/>
      <c r="C60" s="24" t="n"/>
      <c r="D60" s="22" t="n"/>
      <c r="E60" s="22" t="n"/>
      <c r="F60" s="22" t="n"/>
      <c r="G60" s="25" t="n"/>
      <c r="H60" s="25" t="n"/>
      <c r="I60" s="25" t="n"/>
      <c r="J60" s="25">
        <f>IF(G60&lt;&gt;"",G60,IF(OR(H60="",I60=""),"",H60+I60))</f>
        <v/>
      </c>
      <c r="K60" s="23" t="n"/>
      <c r="L60" s="24" t="n"/>
      <c r="M60" s="26">
        <f>IF(OR(B60="",K60=""),"",B60-K60)</f>
        <v/>
      </c>
      <c r="N60" s="24">
        <f>IF(OR(C60="",L60=""),"",C60-L60)</f>
        <v/>
      </c>
    </row>
    <row r="61" ht="22" customHeight="1">
      <c r="A61" s="27" t="n">
        <v>58</v>
      </c>
      <c r="B61" s="28" t="n"/>
      <c r="C61" s="29" t="n"/>
      <c r="D61" s="27" t="n"/>
      <c r="E61" s="27" t="n"/>
      <c r="F61" s="27" t="n"/>
      <c r="G61" s="30" t="n"/>
      <c r="H61" s="30" t="n"/>
      <c r="I61" s="30" t="n"/>
      <c r="J61" s="30">
        <f>IF(G61&lt;&gt;"",G61,IF(OR(H61="",I61=""),"",H61+I61))</f>
        <v/>
      </c>
      <c r="K61" s="28" t="n"/>
      <c r="L61" s="29" t="n"/>
      <c r="M61" s="31">
        <f>IF(OR(B61="",K61=""),"",B61-K61)</f>
        <v/>
      </c>
      <c r="N61" s="29">
        <f>IF(OR(C61="",L61=""),"",C61-L61)</f>
        <v/>
      </c>
    </row>
    <row r="62" ht="22" customHeight="1">
      <c r="A62" s="22" t="n">
        <v>59</v>
      </c>
      <c r="B62" s="23" t="n"/>
      <c r="C62" s="24" t="n"/>
      <c r="D62" s="22" t="n"/>
      <c r="E62" s="22" t="n"/>
      <c r="F62" s="22" t="n"/>
      <c r="G62" s="25" t="n"/>
      <c r="H62" s="25" t="n"/>
      <c r="I62" s="25" t="n"/>
      <c r="J62" s="25">
        <f>IF(G62&lt;&gt;"",G62,IF(OR(H62="",I62=""),"",H62+I62))</f>
        <v/>
      </c>
      <c r="K62" s="23" t="n"/>
      <c r="L62" s="24" t="n"/>
      <c r="M62" s="26">
        <f>IF(OR(B62="",K62=""),"",B62-K62)</f>
        <v/>
      </c>
      <c r="N62" s="24">
        <f>IF(OR(C62="",L62=""),"",C62-L62)</f>
        <v/>
      </c>
    </row>
    <row r="63" ht="22" customHeight="1">
      <c r="A63" s="27" t="n">
        <v>60</v>
      </c>
      <c r="B63" s="28" t="n"/>
      <c r="C63" s="29" t="n"/>
      <c r="D63" s="27" t="n"/>
      <c r="E63" s="27" t="n"/>
      <c r="F63" s="27" t="n"/>
      <c r="G63" s="30" t="n"/>
      <c r="H63" s="30" t="n"/>
      <c r="I63" s="30" t="n"/>
      <c r="J63" s="30">
        <f>IF(G63&lt;&gt;"",G63,IF(OR(H63="",I63=""),"",H63+I63))</f>
        <v/>
      </c>
      <c r="K63" s="28" t="n"/>
      <c r="L63" s="29" t="n"/>
      <c r="M63" s="31">
        <f>IF(OR(B63="",K63=""),"",B63-K63)</f>
        <v/>
      </c>
      <c r="N63" s="29">
        <f>IF(OR(C63="",L63=""),"",C63-L63)</f>
        <v/>
      </c>
    </row>
    <row r="64" ht="22" customHeight="1">
      <c r="A64" s="22" t="n">
        <v>61</v>
      </c>
      <c r="B64" s="23" t="n"/>
      <c r="C64" s="24" t="n"/>
      <c r="D64" s="22" t="n"/>
      <c r="E64" s="22" t="n"/>
      <c r="F64" s="22" t="n"/>
      <c r="G64" s="25" t="n"/>
      <c r="H64" s="25" t="n"/>
      <c r="I64" s="25" t="n"/>
      <c r="J64" s="25">
        <f>IF(G64&lt;&gt;"",G64,IF(OR(H64="",I64=""),"",H64+I64))</f>
        <v/>
      </c>
      <c r="K64" s="23" t="n"/>
      <c r="L64" s="24" t="n"/>
      <c r="M64" s="26">
        <f>IF(OR(B64="",K64=""),"",B64-K64)</f>
        <v/>
      </c>
      <c r="N64" s="24">
        <f>IF(OR(C64="",L64=""),"",C64-L64)</f>
        <v/>
      </c>
    </row>
    <row r="65" ht="22" customHeight="1">
      <c r="A65" s="27" t="n">
        <v>62</v>
      </c>
      <c r="B65" s="28" t="n"/>
      <c r="C65" s="29" t="n"/>
      <c r="D65" s="27" t="n"/>
      <c r="E65" s="27" t="n"/>
      <c r="F65" s="27" t="n"/>
      <c r="G65" s="30" t="n"/>
      <c r="H65" s="30" t="n"/>
      <c r="I65" s="30" t="n"/>
      <c r="J65" s="30">
        <f>IF(G65&lt;&gt;"",G65,IF(OR(H65="",I65=""),"",H65+I65))</f>
        <v/>
      </c>
      <c r="K65" s="28" t="n"/>
      <c r="L65" s="29" t="n"/>
      <c r="M65" s="31">
        <f>IF(OR(B65="",K65=""),"",B65-K65)</f>
        <v/>
      </c>
      <c r="N65" s="29">
        <f>IF(OR(C65="",L65=""),"",C65-L65)</f>
        <v/>
      </c>
    </row>
    <row r="66" ht="22" customHeight="1">
      <c r="A66" s="22" t="n">
        <v>63</v>
      </c>
      <c r="B66" s="23" t="n"/>
      <c r="C66" s="24" t="n"/>
      <c r="D66" s="22" t="n"/>
      <c r="E66" s="22" t="n"/>
      <c r="F66" s="22" t="n"/>
      <c r="G66" s="25" t="n"/>
      <c r="H66" s="25" t="n"/>
      <c r="I66" s="25" t="n"/>
      <c r="J66" s="25">
        <f>IF(G66&lt;&gt;"",G66,IF(OR(H66="",I66=""),"",H66+I66))</f>
        <v/>
      </c>
      <c r="K66" s="23" t="n"/>
      <c r="L66" s="24" t="n"/>
      <c r="M66" s="26">
        <f>IF(OR(B66="",K66=""),"",B66-K66)</f>
        <v/>
      </c>
      <c r="N66" s="24">
        <f>IF(OR(C66="",L66=""),"",C66-L66)</f>
        <v/>
      </c>
    </row>
    <row r="67" ht="22" customHeight="1">
      <c r="A67" s="27" t="n">
        <v>64</v>
      </c>
      <c r="B67" s="28" t="n"/>
      <c r="C67" s="29" t="n"/>
      <c r="D67" s="27" t="n"/>
      <c r="E67" s="27" t="n"/>
      <c r="F67" s="27" t="n"/>
      <c r="G67" s="30" t="n"/>
      <c r="H67" s="30" t="n"/>
      <c r="I67" s="30" t="n"/>
      <c r="J67" s="30">
        <f>IF(G67&lt;&gt;"",G67,IF(OR(H67="",I67=""),"",H67+I67))</f>
        <v/>
      </c>
      <c r="K67" s="28" t="n"/>
      <c r="L67" s="29" t="n"/>
      <c r="M67" s="31">
        <f>IF(OR(B67="",K67=""),"",B67-K67)</f>
        <v/>
      </c>
      <c r="N67" s="29">
        <f>IF(OR(C67="",L67=""),"",C67-L67)</f>
        <v/>
      </c>
    </row>
    <row r="68" ht="22" customHeight="1">
      <c r="A68" s="22" t="n">
        <v>65</v>
      </c>
      <c r="B68" s="23" t="n"/>
      <c r="C68" s="24" t="n"/>
      <c r="D68" s="22" t="n"/>
      <c r="E68" s="22" t="n"/>
      <c r="F68" s="22" t="n"/>
      <c r="G68" s="25" t="n"/>
      <c r="H68" s="25" t="n"/>
      <c r="I68" s="25" t="n"/>
      <c r="J68" s="25">
        <f>IF(G68&lt;&gt;"",G68,IF(OR(H68="",I68=""),"",H68+I68))</f>
        <v/>
      </c>
      <c r="K68" s="23" t="n"/>
      <c r="L68" s="24" t="n"/>
      <c r="M68" s="26">
        <f>IF(OR(B68="",K68=""),"",B68-K68)</f>
        <v/>
      </c>
      <c r="N68" s="24">
        <f>IF(OR(C68="",L68=""),"",C68-L68)</f>
        <v/>
      </c>
    </row>
    <row r="69" ht="22" customHeight="1">
      <c r="A69" s="27" t="n">
        <v>66</v>
      </c>
      <c r="B69" s="28" t="n"/>
      <c r="C69" s="29" t="n"/>
      <c r="D69" s="27" t="n"/>
      <c r="E69" s="27" t="n"/>
      <c r="F69" s="27" t="n"/>
      <c r="G69" s="30" t="n"/>
      <c r="H69" s="30" t="n"/>
      <c r="I69" s="30" t="n"/>
      <c r="J69" s="30">
        <f>IF(G69&lt;&gt;"",G69,IF(OR(H69="",I69=""),"",H69+I69))</f>
        <v/>
      </c>
      <c r="K69" s="28" t="n"/>
      <c r="L69" s="29" t="n"/>
      <c r="M69" s="31">
        <f>IF(OR(B69="",K69=""),"",B69-K69)</f>
        <v/>
      </c>
      <c r="N69" s="29">
        <f>IF(OR(C69="",L69=""),"",C69-L69)</f>
        <v/>
      </c>
    </row>
    <row r="70" ht="22" customHeight="1">
      <c r="A70" s="22" t="n">
        <v>67</v>
      </c>
      <c r="B70" s="23" t="n"/>
      <c r="C70" s="24" t="n"/>
      <c r="D70" s="22" t="n"/>
      <c r="E70" s="22" t="n"/>
      <c r="F70" s="22" t="n"/>
      <c r="G70" s="25" t="n"/>
      <c r="H70" s="25" t="n"/>
      <c r="I70" s="25" t="n"/>
      <c r="J70" s="25">
        <f>IF(G70&lt;&gt;"",G70,IF(OR(H70="",I70=""),"",H70+I70))</f>
        <v/>
      </c>
      <c r="K70" s="23" t="n"/>
      <c r="L70" s="24" t="n"/>
      <c r="M70" s="26">
        <f>IF(OR(B70="",K70=""),"",B70-K70)</f>
        <v/>
      </c>
      <c r="N70" s="24">
        <f>IF(OR(C70="",L70=""),"",C70-L70)</f>
        <v/>
      </c>
    </row>
    <row r="71" ht="22" customHeight="1">
      <c r="A71" s="27" t="n">
        <v>68</v>
      </c>
      <c r="B71" s="28" t="n"/>
      <c r="C71" s="29" t="n"/>
      <c r="D71" s="27" t="n"/>
      <c r="E71" s="27" t="n"/>
      <c r="F71" s="27" t="n"/>
      <c r="G71" s="30" t="n"/>
      <c r="H71" s="30" t="n"/>
      <c r="I71" s="30" t="n"/>
      <c r="J71" s="30">
        <f>IF(G71&lt;&gt;"",G71,IF(OR(H71="",I71=""),"",H71+I71))</f>
        <v/>
      </c>
      <c r="K71" s="28" t="n"/>
      <c r="L71" s="29" t="n"/>
      <c r="M71" s="31">
        <f>IF(OR(B71="",K71=""),"",B71-K71)</f>
        <v/>
      </c>
      <c r="N71" s="29">
        <f>IF(OR(C71="",L71=""),"",C71-L71)</f>
        <v/>
      </c>
    </row>
    <row r="72" ht="22" customHeight="1">
      <c r="A72" s="22" t="n">
        <v>69</v>
      </c>
      <c r="B72" s="23" t="n"/>
      <c r="C72" s="24" t="n"/>
      <c r="D72" s="22" t="n"/>
      <c r="E72" s="22" t="n"/>
      <c r="F72" s="22" t="n"/>
      <c r="G72" s="25" t="n"/>
      <c r="H72" s="25" t="n"/>
      <c r="I72" s="25" t="n"/>
      <c r="J72" s="25">
        <f>IF(G72&lt;&gt;"",G72,IF(OR(H72="",I72=""),"",H72+I72))</f>
        <v/>
      </c>
      <c r="K72" s="23" t="n"/>
      <c r="L72" s="24" t="n"/>
      <c r="M72" s="26">
        <f>IF(OR(B72="",K72=""),"",B72-K72)</f>
        <v/>
      </c>
      <c r="N72" s="24">
        <f>IF(OR(C72="",L72=""),"",C72-L72)</f>
        <v/>
      </c>
    </row>
    <row r="73" ht="22" customHeight="1">
      <c r="A73" s="27" t="n">
        <v>70</v>
      </c>
      <c r="B73" s="28" t="n"/>
      <c r="C73" s="29" t="n"/>
      <c r="D73" s="27" t="n"/>
      <c r="E73" s="27" t="n"/>
      <c r="F73" s="27" t="n"/>
      <c r="G73" s="30" t="n"/>
      <c r="H73" s="30" t="n"/>
      <c r="I73" s="30" t="n"/>
      <c r="J73" s="30">
        <f>IF(G73&lt;&gt;"",G73,IF(OR(H73="",I73=""),"",H73+I73))</f>
        <v/>
      </c>
      <c r="K73" s="28" t="n"/>
      <c r="L73" s="29" t="n"/>
      <c r="M73" s="31">
        <f>IF(OR(B73="",K73=""),"",B73-K73)</f>
        <v/>
      </c>
      <c r="N73" s="29">
        <f>IF(OR(C73="",L73=""),"",C73-L73)</f>
        <v/>
      </c>
    </row>
    <row r="74" ht="22" customHeight="1">
      <c r="A74" s="22" t="n">
        <v>71</v>
      </c>
      <c r="B74" s="23" t="n"/>
      <c r="C74" s="24" t="n"/>
      <c r="D74" s="22" t="n"/>
      <c r="E74" s="22" t="n"/>
      <c r="F74" s="22" t="n"/>
      <c r="G74" s="25" t="n"/>
      <c r="H74" s="25" t="n"/>
      <c r="I74" s="25" t="n"/>
      <c r="J74" s="25">
        <f>IF(G74&lt;&gt;"",G74,IF(OR(H74="",I74=""),"",H74+I74))</f>
        <v/>
      </c>
      <c r="K74" s="23" t="n"/>
      <c r="L74" s="24" t="n"/>
      <c r="M74" s="26">
        <f>IF(OR(B74="",K74=""),"",B74-K74)</f>
        <v/>
      </c>
      <c r="N74" s="24">
        <f>IF(OR(C74="",L74=""),"",C74-L74)</f>
        <v/>
      </c>
    </row>
    <row r="75" ht="22" customHeight="1">
      <c r="A75" s="27" t="n">
        <v>72</v>
      </c>
      <c r="B75" s="28" t="n"/>
      <c r="C75" s="29" t="n"/>
      <c r="D75" s="27" t="n"/>
      <c r="E75" s="27" t="n"/>
      <c r="F75" s="27" t="n"/>
      <c r="G75" s="30" t="n"/>
      <c r="H75" s="30" t="n"/>
      <c r="I75" s="30" t="n"/>
      <c r="J75" s="30">
        <f>IF(G75&lt;&gt;"",G75,IF(OR(H75="",I75=""),"",H75+I75))</f>
        <v/>
      </c>
      <c r="K75" s="28" t="n"/>
      <c r="L75" s="29" t="n"/>
      <c r="M75" s="31">
        <f>IF(OR(B75="",K75=""),"",B75-K75)</f>
        <v/>
      </c>
      <c r="N75" s="29">
        <f>IF(OR(C75="",L75=""),"",C75-L75)</f>
        <v/>
      </c>
    </row>
    <row r="76" ht="22" customHeight="1">
      <c r="A76" s="22" t="n">
        <v>73</v>
      </c>
      <c r="B76" s="23" t="n"/>
      <c r="C76" s="24" t="n"/>
      <c r="D76" s="22" t="n"/>
      <c r="E76" s="22" t="n"/>
      <c r="F76" s="22" t="n"/>
      <c r="G76" s="25" t="n"/>
      <c r="H76" s="25" t="n"/>
      <c r="I76" s="25" t="n"/>
      <c r="J76" s="25">
        <f>IF(G76&lt;&gt;"",G76,IF(OR(H76="",I76=""),"",H76+I76))</f>
        <v/>
      </c>
      <c r="K76" s="23" t="n"/>
      <c r="L76" s="24" t="n"/>
      <c r="M76" s="26">
        <f>IF(OR(B76="",K76=""),"",B76-K76)</f>
        <v/>
      </c>
      <c r="N76" s="24">
        <f>IF(OR(C76="",L76=""),"",C76-L76)</f>
        <v/>
      </c>
    </row>
    <row r="77" ht="22" customHeight="1">
      <c r="A77" s="27" t="n">
        <v>74</v>
      </c>
      <c r="B77" s="28" t="n"/>
      <c r="C77" s="29" t="n"/>
      <c r="D77" s="27" t="n"/>
      <c r="E77" s="27" t="n"/>
      <c r="F77" s="27" t="n"/>
      <c r="G77" s="30" t="n"/>
      <c r="H77" s="30" t="n"/>
      <c r="I77" s="30" t="n"/>
      <c r="J77" s="30">
        <f>IF(G77&lt;&gt;"",G77,IF(OR(H77="",I77=""),"",H77+I77))</f>
        <v/>
      </c>
      <c r="K77" s="28" t="n"/>
      <c r="L77" s="29" t="n"/>
      <c r="M77" s="31">
        <f>IF(OR(B77="",K77=""),"",B77-K77)</f>
        <v/>
      </c>
      <c r="N77" s="29">
        <f>IF(OR(C77="",L77=""),"",C77-L77)</f>
        <v/>
      </c>
    </row>
    <row r="78" ht="22" customHeight="1">
      <c r="A78" s="22" t="n">
        <v>75</v>
      </c>
      <c r="B78" s="23" t="n"/>
      <c r="C78" s="24" t="n"/>
      <c r="D78" s="22" t="n"/>
      <c r="E78" s="22" t="n"/>
      <c r="F78" s="22" t="n"/>
      <c r="G78" s="25" t="n"/>
      <c r="H78" s="25" t="n"/>
      <c r="I78" s="25" t="n"/>
      <c r="J78" s="25">
        <f>IF(G78&lt;&gt;"",G78,IF(OR(H78="",I78=""),"",H78+I78))</f>
        <v/>
      </c>
      <c r="K78" s="23" t="n"/>
      <c r="L78" s="24" t="n"/>
      <c r="M78" s="26">
        <f>IF(OR(B78="",K78=""),"",B78-K78)</f>
        <v/>
      </c>
      <c r="N78" s="24">
        <f>IF(OR(C78="",L78=""),"",C78-L78)</f>
        <v/>
      </c>
    </row>
    <row r="79" ht="22" customHeight="1">
      <c r="A79" s="27" t="n">
        <v>76</v>
      </c>
      <c r="B79" s="28" t="n"/>
      <c r="C79" s="29" t="n"/>
      <c r="D79" s="27" t="n"/>
      <c r="E79" s="27" t="n"/>
      <c r="F79" s="27" t="n"/>
      <c r="G79" s="30" t="n"/>
      <c r="H79" s="30" t="n"/>
      <c r="I79" s="30" t="n"/>
      <c r="J79" s="30">
        <f>IF(G79&lt;&gt;"",G79,IF(OR(H79="",I79=""),"",H79+I79))</f>
        <v/>
      </c>
      <c r="K79" s="28" t="n"/>
      <c r="L79" s="29" t="n"/>
      <c r="M79" s="31">
        <f>IF(OR(B79="",K79=""),"",B79-K79)</f>
        <v/>
      </c>
      <c r="N79" s="29">
        <f>IF(OR(C79="",L79=""),"",C79-L79)</f>
        <v/>
      </c>
    </row>
    <row r="80" ht="22" customHeight="1">
      <c r="A80" s="22" t="n">
        <v>77</v>
      </c>
      <c r="B80" s="23" t="n"/>
      <c r="C80" s="24" t="n"/>
      <c r="D80" s="22" t="n"/>
      <c r="E80" s="22" t="n"/>
      <c r="F80" s="22" t="n"/>
      <c r="G80" s="25" t="n"/>
      <c r="H80" s="25" t="n"/>
      <c r="I80" s="25" t="n"/>
      <c r="J80" s="25">
        <f>IF(G80&lt;&gt;"",G80,IF(OR(H80="",I80=""),"",H80+I80))</f>
        <v/>
      </c>
      <c r="K80" s="23" t="n"/>
      <c r="L80" s="24" t="n"/>
      <c r="M80" s="26">
        <f>IF(OR(B80="",K80=""),"",B80-K80)</f>
        <v/>
      </c>
      <c r="N80" s="24">
        <f>IF(OR(C80="",L80=""),"",C80-L80)</f>
        <v/>
      </c>
    </row>
    <row r="81" ht="22" customHeight="1">
      <c r="A81" s="27" t="n">
        <v>78</v>
      </c>
      <c r="B81" s="28" t="n"/>
      <c r="C81" s="29" t="n"/>
      <c r="D81" s="27" t="n"/>
      <c r="E81" s="27" t="n"/>
      <c r="F81" s="27" t="n"/>
      <c r="G81" s="30" t="n"/>
      <c r="H81" s="30" t="n"/>
      <c r="I81" s="30" t="n"/>
      <c r="J81" s="30">
        <f>IF(G81&lt;&gt;"",G81,IF(OR(H81="",I81=""),"",H81+I81))</f>
        <v/>
      </c>
      <c r="K81" s="28" t="n"/>
      <c r="L81" s="29" t="n"/>
      <c r="M81" s="31">
        <f>IF(OR(B81="",K81=""),"",B81-K81)</f>
        <v/>
      </c>
      <c r="N81" s="29">
        <f>IF(OR(C81="",L81=""),"",C81-L81)</f>
        <v/>
      </c>
    </row>
    <row r="82" ht="22" customHeight="1">
      <c r="A82" s="22" t="n">
        <v>79</v>
      </c>
      <c r="B82" s="23" t="n"/>
      <c r="C82" s="24" t="n"/>
      <c r="D82" s="22" t="n"/>
      <c r="E82" s="22" t="n"/>
      <c r="F82" s="22" t="n"/>
      <c r="G82" s="25" t="n"/>
      <c r="H82" s="25" t="n"/>
      <c r="I82" s="25" t="n"/>
      <c r="J82" s="25">
        <f>IF(G82&lt;&gt;"",G82,IF(OR(H82="",I82=""),"",H82+I82))</f>
        <v/>
      </c>
      <c r="K82" s="23" t="n"/>
      <c r="L82" s="24" t="n"/>
      <c r="M82" s="26">
        <f>IF(OR(B82="",K82=""),"",B82-K82)</f>
        <v/>
      </c>
      <c r="N82" s="24">
        <f>IF(OR(C82="",L82=""),"",C82-L82)</f>
        <v/>
      </c>
    </row>
    <row r="83" ht="22" customHeight="1">
      <c r="A83" s="27" t="n">
        <v>80</v>
      </c>
      <c r="B83" s="28" t="n"/>
      <c r="C83" s="29" t="n"/>
      <c r="D83" s="27" t="n"/>
      <c r="E83" s="27" t="n"/>
      <c r="F83" s="27" t="n"/>
      <c r="G83" s="30" t="n"/>
      <c r="H83" s="30" t="n"/>
      <c r="I83" s="30" t="n"/>
      <c r="J83" s="30">
        <f>IF(G83&lt;&gt;"",G83,IF(OR(H83="",I83=""),"",H83+I83))</f>
        <v/>
      </c>
      <c r="K83" s="28" t="n"/>
      <c r="L83" s="29" t="n"/>
      <c r="M83" s="31">
        <f>IF(OR(B83="",K83=""),"",B83-K83)</f>
        <v/>
      </c>
      <c r="N83" s="29">
        <f>IF(OR(C83="",L83=""),"",C83-L83)</f>
        <v/>
      </c>
    </row>
    <row r="84" ht="22" customHeight="1">
      <c r="A84" s="22" t="n">
        <v>81</v>
      </c>
      <c r="B84" s="23" t="n"/>
      <c r="C84" s="24" t="n"/>
      <c r="D84" s="22" t="n"/>
      <c r="E84" s="22" t="n"/>
      <c r="F84" s="22" t="n"/>
      <c r="G84" s="25" t="n"/>
      <c r="H84" s="25" t="n"/>
      <c r="I84" s="25" t="n"/>
      <c r="J84" s="25">
        <f>IF(G84&lt;&gt;"",G84,IF(OR(H84="",I84=""),"",H84+I84))</f>
        <v/>
      </c>
      <c r="K84" s="23" t="n"/>
      <c r="L84" s="24" t="n"/>
      <c r="M84" s="26">
        <f>IF(OR(B84="",K84=""),"",B84-K84)</f>
        <v/>
      </c>
      <c r="N84" s="24">
        <f>IF(OR(C84="",L84=""),"",C84-L84)</f>
        <v/>
      </c>
    </row>
    <row r="85" ht="22" customHeight="1">
      <c r="A85" s="27" t="n">
        <v>82</v>
      </c>
      <c r="B85" s="28" t="n"/>
      <c r="C85" s="29" t="n"/>
      <c r="D85" s="27" t="n"/>
      <c r="E85" s="27" t="n"/>
      <c r="F85" s="27" t="n"/>
      <c r="G85" s="30" t="n"/>
      <c r="H85" s="30" t="n"/>
      <c r="I85" s="30" t="n"/>
      <c r="J85" s="30">
        <f>IF(G85&lt;&gt;"",G85,IF(OR(H85="",I85=""),"",H85+I85))</f>
        <v/>
      </c>
      <c r="K85" s="28" t="n"/>
      <c r="L85" s="29" t="n"/>
      <c r="M85" s="31">
        <f>IF(OR(B85="",K85=""),"",B85-K85)</f>
        <v/>
      </c>
      <c r="N85" s="29">
        <f>IF(OR(C85="",L85=""),"",C85-L85)</f>
        <v/>
      </c>
    </row>
    <row r="86" ht="22" customHeight="1">
      <c r="A86" s="22" t="n">
        <v>83</v>
      </c>
      <c r="B86" s="23" t="n"/>
      <c r="C86" s="24" t="n"/>
      <c r="D86" s="22" t="n"/>
      <c r="E86" s="22" t="n"/>
      <c r="F86" s="22" t="n"/>
      <c r="G86" s="25" t="n"/>
      <c r="H86" s="25" t="n"/>
      <c r="I86" s="25" t="n"/>
      <c r="J86" s="25">
        <f>IF(G86&lt;&gt;"",G86,IF(OR(H86="",I86=""),"",H86+I86))</f>
        <v/>
      </c>
      <c r="K86" s="23" t="n"/>
      <c r="L86" s="24" t="n"/>
      <c r="M86" s="26">
        <f>IF(OR(B86="",K86=""),"",B86-K86)</f>
        <v/>
      </c>
      <c r="N86" s="24">
        <f>IF(OR(C86="",L86=""),"",C86-L86)</f>
        <v/>
      </c>
    </row>
    <row r="87" ht="22" customHeight="1">
      <c r="A87" s="27" t="n">
        <v>84</v>
      </c>
      <c r="B87" s="28" t="n"/>
      <c r="C87" s="29" t="n"/>
      <c r="D87" s="27" t="n"/>
      <c r="E87" s="27" t="n"/>
      <c r="F87" s="27" t="n"/>
      <c r="G87" s="30" t="n"/>
      <c r="H87" s="30" t="n"/>
      <c r="I87" s="30" t="n"/>
      <c r="J87" s="30">
        <f>IF(G87&lt;&gt;"",G87,IF(OR(H87="",I87=""),"",H87+I87))</f>
        <v/>
      </c>
      <c r="K87" s="28" t="n"/>
      <c r="L87" s="29" t="n"/>
      <c r="M87" s="31">
        <f>IF(OR(B87="",K87=""),"",B87-K87)</f>
        <v/>
      </c>
      <c r="N87" s="29">
        <f>IF(OR(C87="",L87=""),"",C87-L87)</f>
        <v/>
      </c>
    </row>
    <row r="88" ht="22" customHeight="1">
      <c r="A88" s="22" t="n">
        <v>85</v>
      </c>
      <c r="B88" s="23" t="n"/>
      <c r="C88" s="24" t="n"/>
      <c r="D88" s="22" t="n"/>
      <c r="E88" s="22" t="n"/>
      <c r="F88" s="22" t="n"/>
      <c r="G88" s="25" t="n"/>
      <c r="H88" s="25" t="n"/>
      <c r="I88" s="25" t="n"/>
      <c r="J88" s="25">
        <f>IF(G88&lt;&gt;"",G88,IF(OR(H88="",I88=""),"",H88+I88))</f>
        <v/>
      </c>
      <c r="K88" s="23" t="n"/>
      <c r="L88" s="24" t="n"/>
      <c r="M88" s="26">
        <f>IF(OR(B88="",K88=""),"",B88-K88)</f>
        <v/>
      </c>
      <c r="N88" s="24">
        <f>IF(OR(C88="",L88=""),"",C88-L88)</f>
        <v/>
      </c>
    </row>
    <row r="89" ht="22" customHeight="1">
      <c r="A89" s="27" t="n">
        <v>86</v>
      </c>
      <c r="B89" s="28" t="n"/>
      <c r="C89" s="29" t="n"/>
      <c r="D89" s="27" t="n"/>
      <c r="E89" s="27" t="n"/>
      <c r="F89" s="27" t="n"/>
      <c r="G89" s="30" t="n"/>
      <c r="H89" s="30" t="n"/>
      <c r="I89" s="30" t="n"/>
      <c r="J89" s="30">
        <f>IF(G89&lt;&gt;"",G89,IF(OR(H89="",I89=""),"",H89+I89))</f>
        <v/>
      </c>
      <c r="K89" s="28" t="n"/>
      <c r="L89" s="29" t="n"/>
      <c r="M89" s="31">
        <f>IF(OR(B89="",K89=""),"",B89-K89)</f>
        <v/>
      </c>
      <c r="N89" s="29">
        <f>IF(OR(C89="",L89=""),"",C89-L89)</f>
        <v/>
      </c>
    </row>
    <row r="90" ht="22" customHeight="1">
      <c r="A90" s="22" t="n">
        <v>87</v>
      </c>
      <c r="B90" s="23" t="n"/>
      <c r="C90" s="24" t="n"/>
      <c r="D90" s="22" t="n"/>
      <c r="E90" s="22" t="n"/>
      <c r="F90" s="22" t="n"/>
      <c r="G90" s="25" t="n"/>
      <c r="H90" s="25" t="n"/>
      <c r="I90" s="25" t="n"/>
      <c r="J90" s="25">
        <f>IF(G90&lt;&gt;"",G90,IF(OR(H90="",I90=""),"",H90+I90))</f>
        <v/>
      </c>
      <c r="K90" s="23" t="n"/>
      <c r="L90" s="24" t="n"/>
      <c r="M90" s="26">
        <f>IF(OR(B90="",K90=""),"",B90-K90)</f>
        <v/>
      </c>
      <c r="N90" s="24">
        <f>IF(OR(C90="",L90=""),"",C90-L90)</f>
        <v/>
      </c>
    </row>
    <row r="91" ht="22" customHeight="1">
      <c r="A91" s="27" t="n">
        <v>88</v>
      </c>
      <c r="B91" s="28" t="n"/>
      <c r="C91" s="29" t="n"/>
      <c r="D91" s="27" t="n"/>
      <c r="E91" s="27" t="n"/>
      <c r="F91" s="27" t="n"/>
      <c r="G91" s="30" t="n"/>
      <c r="H91" s="30" t="n"/>
      <c r="I91" s="30" t="n"/>
      <c r="J91" s="30">
        <f>IF(G91&lt;&gt;"",G91,IF(OR(H91="",I91=""),"",H91+I91))</f>
        <v/>
      </c>
      <c r="K91" s="28" t="n"/>
      <c r="L91" s="29" t="n"/>
      <c r="M91" s="31">
        <f>IF(OR(B91="",K91=""),"",B91-K91)</f>
        <v/>
      </c>
      <c r="N91" s="29">
        <f>IF(OR(C91="",L91=""),"",C91-L91)</f>
        <v/>
      </c>
    </row>
    <row r="92" ht="22" customHeight="1">
      <c r="A92" s="22" t="n">
        <v>89</v>
      </c>
      <c r="B92" s="23" t="n"/>
      <c r="C92" s="24" t="n"/>
      <c r="D92" s="22" t="n"/>
      <c r="E92" s="22" t="n"/>
      <c r="F92" s="22" t="n"/>
      <c r="G92" s="25" t="n"/>
      <c r="H92" s="25" t="n"/>
      <c r="I92" s="25" t="n"/>
      <c r="J92" s="25">
        <f>IF(G92&lt;&gt;"",G92,IF(OR(H92="",I92=""),"",H92+I92))</f>
        <v/>
      </c>
      <c r="K92" s="23" t="n"/>
      <c r="L92" s="24" t="n"/>
      <c r="M92" s="26">
        <f>IF(OR(B92="",K92=""),"",B92-K92)</f>
        <v/>
      </c>
      <c r="N92" s="24">
        <f>IF(OR(C92="",L92=""),"",C92-L92)</f>
        <v/>
      </c>
    </row>
    <row r="93" ht="22" customHeight="1">
      <c r="A93" s="27" t="n">
        <v>90</v>
      </c>
      <c r="B93" s="28" t="n"/>
      <c r="C93" s="29" t="n"/>
      <c r="D93" s="27" t="n"/>
      <c r="E93" s="27" t="n"/>
      <c r="F93" s="27" t="n"/>
      <c r="G93" s="30" t="n"/>
      <c r="H93" s="30" t="n"/>
      <c r="I93" s="30" t="n"/>
      <c r="J93" s="30">
        <f>IF(G93&lt;&gt;"",G93,IF(OR(H93="",I93=""),"",H93+I93))</f>
        <v/>
      </c>
      <c r="K93" s="28" t="n"/>
      <c r="L93" s="29" t="n"/>
      <c r="M93" s="31">
        <f>IF(OR(B93="",K93=""),"",B93-K93)</f>
        <v/>
      </c>
      <c r="N93" s="29">
        <f>IF(OR(C93="",L93=""),"",C93-L93)</f>
        <v/>
      </c>
    </row>
    <row r="94" ht="22" customHeight="1">
      <c r="A94" s="22" t="n">
        <v>91</v>
      </c>
      <c r="B94" s="23" t="n"/>
      <c r="C94" s="24" t="n"/>
      <c r="D94" s="22" t="n"/>
      <c r="E94" s="22" t="n"/>
      <c r="F94" s="22" t="n"/>
      <c r="G94" s="25" t="n"/>
      <c r="H94" s="25" t="n"/>
      <c r="I94" s="25" t="n"/>
      <c r="J94" s="25">
        <f>IF(G94&lt;&gt;"",G94,IF(OR(H94="",I94=""),"",H94+I94))</f>
        <v/>
      </c>
      <c r="K94" s="23" t="n"/>
      <c r="L94" s="24" t="n"/>
      <c r="M94" s="26">
        <f>IF(OR(B94="",K94=""),"",B94-K94)</f>
        <v/>
      </c>
      <c r="N94" s="24">
        <f>IF(OR(C94="",L94=""),"",C94-L94)</f>
        <v/>
      </c>
    </row>
    <row r="95" ht="22" customHeight="1">
      <c r="A95" s="27" t="n">
        <v>92</v>
      </c>
      <c r="B95" s="28" t="n"/>
      <c r="C95" s="29" t="n"/>
      <c r="D95" s="27" t="n"/>
      <c r="E95" s="27" t="n"/>
      <c r="F95" s="27" t="n"/>
      <c r="G95" s="30" t="n"/>
      <c r="H95" s="30" t="n"/>
      <c r="I95" s="30" t="n"/>
      <c r="J95" s="30">
        <f>IF(G95&lt;&gt;"",G95,IF(OR(H95="",I95=""),"",H95+I95))</f>
        <v/>
      </c>
      <c r="K95" s="28" t="n"/>
      <c r="L95" s="29" t="n"/>
      <c r="M95" s="31">
        <f>IF(OR(B95="",K95=""),"",B95-K95)</f>
        <v/>
      </c>
      <c r="N95" s="29">
        <f>IF(OR(C95="",L95=""),"",C95-L95)</f>
        <v/>
      </c>
    </row>
    <row r="96" ht="22" customHeight="1">
      <c r="A96" s="22" t="n">
        <v>93</v>
      </c>
      <c r="B96" s="23" t="n"/>
      <c r="C96" s="24" t="n"/>
      <c r="D96" s="22" t="n"/>
      <c r="E96" s="22" t="n"/>
      <c r="F96" s="22" t="n"/>
      <c r="G96" s="25" t="n"/>
      <c r="H96" s="25" t="n"/>
      <c r="I96" s="25" t="n"/>
      <c r="J96" s="25">
        <f>IF(G96&lt;&gt;"",G96,IF(OR(H96="",I96=""),"",H96+I96))</f>
        <v/>
      </c>
      <c r="K96" s="23" t="n"/>
      <c r="L96" s="24" t="n"/>
      <c r="M96" s="26">
        <f>IF(OR(B96="",K96=""),"",B96-K96)</f>
        <v/>
      </c>
      <c r="N96" s="24">
        <f>IF(OR(C96="",L96=""),"",C96-L96)</f>
        <v/>
      </c>
    </row>
    <row r="97" ht="22" customHeight="1">
      <c r="A97" s="27" t="n">
        <v>94</v>
      </c>
      <c r="B97" s="28" t="n"/>
      <c r="C97" s="29" t="n"/>
      <c r="D97" s="27" t="n"/>
      <c r="E97" s="27" t="n"/>
      <c r="F97" s="27" t="n"/>
      <c r="G97" s="30" t="n"/>
      <c r="H97" s="30" t="n"/>
      <c r="I97" s="30" t="n"/>
      <c r="J97" s="30">
        <f>IF(G97&lt;&gt;"",G97,IF(OR(H97="",I97=""),"",H97+I97))</f>
        <v/>
      </c>
      <c r="K97" s="28" t="n"/>
      <c r="L97" s="29" t="n"/>
      <c r="M97" s="31">
        <f>IF(OR(B97="",K97=""),"",B97-K97)</f>
        <v/>
      </c>
      <c r="N97" s="29">
        <f>IF(OR(C97="",L97=""),"",C97-L97)</f>
        <v/>
      </c>
    </row>
    <row r="98" ht="22" customHeight="1">
      <c r="A98" s="22" t="n">
        <v>95</v>
      </c>
      <c r="B98" s="23" t="n"/>
      <c r="C98" s="24" t="n"/>
      <c r="D98" s="22" t="n"/>
      <c r="E98" s="22" t="n"/>
      <c r="F98" s="22" t="n"/>
      <c r="G98" s="25" t="n"/>
      <c r="H98" s="25" t="n"/>
      <c r="I98" s="25" t="n"/>
      <c r="J98" s="25">
        <f>IF(G98&lt;&gt;"",G98,IF(OR(H98="",I98=""),"",H98+I98))</f>
        <v/>
      </c>
      <c r="K98" s="23" t="n"/>
      <c r="L98" s="24" t="n"/>
      <c r="M98" s="26">
        <f>IF(OR(B98="",K98=""),"",B98-K98)</f>
        <v/>
      </c>
      <c r="N98" s="24">
        <f>IF(OR(C98="",L98=""),"",C98-L98)</f>
        <v/>
      </c>
    </row>
    <row r="99" ht="22" customHeight="1">
      <c r="A99" s="27" t="n">
        <v>96</v>
      </c>
      <c r="B99" s="28" t="n"/>
      <c r="C99" s="29" t="n"/>
      <c r="D99" s="27" t="n"/>
      <c r="E99" s="27" t="n"/>
      <c r="F99" s="27" t="n"/>
      <c r="G99" s="30" t="n"/>
      <c r="H99" s="30" t="n"/>
      <c r="I99" s="30" t="n"/>
      <c r="J99" s="30">
        <f>IF(G99&lt;&gt;"",G99,IF(OR(H99="",I99=""),"",H99+I99))</f>
        <v/>
      </c>
      <c r="K99" s="28" t="n"/>
      <c r="L99" s="29" t="n"/>
      <c r="M99" s="31">
        <f>IF(OR(B99="",K99=""),"",B99-K99)</f>
        <v/>
      </c>
      <c r="N99" s="29">
        <f>IF(OR(C99="",L99=""),"",C99-L99)</f>
        <v/>
      </c>
    </row>
    <row r="100" ht="22" customHeight="1">
      <c r="A100" s="22" t="n">
        <v>97</v>
      </c>
      <c r="B100" s="23" t="n"/>
      <c r="C100" s="24" t="n"/>
      <c r="D100" s="22" t="n"/>
      <c r="E100" s="22" t="n"/>
      <c r="F100" s="22" t="n"/>
      <c r="G100" s="25" t="n"/>
      <c r="H100" s="25" t="n"/>
      <c r="I100" s="25" t="n"/>
      <c r="J100" s="25">
        <f>IF(G100&lt;&gt;"",G100,IF(OR(H100="",I100=""),"",H100+I100))</f>
        <v/>
      </c>
      <c r="K100" s="23" t="n"/>
      <c r="L100" s="24" t="n"/>
      <c r="M100" s="26">
        <f>IF(OR(B100="",K100=""),"",B100-K100)</f>
        <v/>
      </c>
      <c r="N100" s="24">
        <f>IF(OR(C100="",L100=""),"",C100-L100)</f>
        <v/>
      </c>
    </row>
    <row r="101" ht="22" customHeight="1">
      <c r="A101" s="27" t="n">
        <v>98</v>
      </c>
      <c r="B101" s="28" t="n"/>
      <c r="C101" s="29" t="n"/>
      <c r="D101" s="27" t="n"/>
      <c r="E101" s="27" t="n"/>
      <c r="F101" s="27" t="n"/>
      <c r="G101" s="30" t="n"/>
      <c r="H101" s="30" t="n"/>
      <c r="I101" s="30" t="n"/>
      <c r="J101" s="30">
        <f>IF(G101&lt;&gt;"",G101,IF(OR(H101="",I101=""),"",H101+I101))</f>
        <v/>
      </c>
      <c r="K101" s="28" t="n"/>
      <c r="L101" s="29" t="n"/>
      <c r="M101" s="31">
        <f>IF(OR(B101="",K101=""),"",B101-K101)</f>
        <v/>
      </c>
      <c r="N101" s="29">
        <f>IF(OR(C101="",L101=""),"",C101-L101)</f>
        <v/>
      </c>
    </row>
    <row r="102" ht="22" customHeight="1">
      <c r="A102" s="22" t="n">
        <v>99</v>
      </c>
      <c r="B102" s="23" t="n"/>
      <c r="C102" s="24" t="n"/>
      <c r="D102" s="22" t="n"/>
      <c r="E102" s="22" t="n"/>
      <c r="F102" s="22" t="n"/>
      <c r="G102" s="25" t="n"/>
      <c r="H102" s="25" t="n"/>
      <c r="I102" s="25" t="n"/>
      <c r="J102" s="25">
        <f>IF(G102&lt;&gt;"",G102,IF(OR(H102="",I102=""),"",H102+I102))</f>
        <v/>
      </c>
      <c r="K102" s="23" t="n"/>
      <c r="L102" s="24" t="n"/>
      <c r="M102" s="26">
        <f>IF(OR(B102="",K102=""),"",B102-K102)</f>
        <v/>
      </c>
      <c r="N102" s="24">
        <f>IF(OR(C102="",L102=""),"",C102-L102)</f>
        <v/>
      </c>
    </row>
    <row r="103" ht="22" customHeight="1">
      <c r="A103" s="27" t="n">
        <v>100</v>
      </c>
      <c r="B103" s="28" t="n"/>
      <c r="C103" s="29" t="n"/>
      <c r="D103" s="27" t="n"/>
      <c r="E103" s="27" t="n"/>
      <c r="F103" s="27" t="n"/>
      <c r="G103" s="30" t="n"/>
      <c r="H103" s="30" t="n"/>
      <c r="I103" s="30" t="n"/>
      <c r="J103" s="30">
        <f>IF(G103&lt;&gt;"",G103,IF(OR(H103="",I103=""),"",H103+I103))</f>
        <v/>
      </c>
      <c r="K103" s="28" t="n"/>
      <c r="L103" s="29" t="n"/>
      <c r="M103" s="31">
        <f>IF(OR(B103="",K103=""),"",B103-K103)</f>
        <v/>
      </c>
      <c r="N103" s="29">
        <f>IF(OR(C103="",L103=""),"",C103-L103)</f>
        <v/>
      </c>
    </row>
    <row r="104" ht="22" customHeight="1">
      <c r="A104" s="22" t="n">
        <v>101</v>
      </c>
      <c r="B104" s="23" t="n"/>
      <c r="C104" s="24" t="n"/>
      <c r="D104" s="22" t="n"/>
      <c r="E104" s="22" t="n"/>
      <c r="F104" s="22" t="n"/>
      <c r="G104" s="25" t="n"/>
      <c r="H104" s="25" t="n"/>
      <c r="I104" s="25" t="n"/>
      <c r="J104" s="25">
        <f>IF(G104&lt;&gt;"",G104,IF(OR(H104="",I104=""),"",H104+I104))</f>
        <v/>
      </c>
      <c r="K104" s="23" t="n"/>
      <c r="L104" s="24" t="n"/>
      <c r="M104" s="26">
        <f>IF(OR(B104="",K104=""),"",B104-K104)</f>
        <v/>
      </c>
      <c r="N104" s="24">
        <f>IF(OR(C104="",L104=""),"",C104-L104)</f>
        <v/>
      </c>
    </row>
    <row r="105" ht="22" customHeight="1">
      <c r="A105" s="27" t="n">
        <v>102</v>
      </c>
      <c r="B105" s="28" t="n"/>
      <c r="C105" s="29" t="n"/>
      <c r="D105" s="27" t="n"/>
      <c r="E105" s="27" t="n"/>
      <c r="F105" s="27" t="n"/>
      <c r="G105" s="30" t="n"/>
      <c r="H105" s="30" t="n"/>
      <c r="I105" s="30" t="n"/>
      <c r="J105" s="30">
        <f>IF(G105&lt;&gt;"",G105,IF(OR(H105="",I105=""),"",H105+I105))</f>
        <v/>
      </c>
      <c r="K105" s="28" t="n"/>
      <c r="L105" s="29" t="n"/>
      <c r="M105" s="31">
        <f>IF(OR(B105="",K105=""),"",B105-K105)</f>
        <v/>
      </c>
      <c r="N105" s="29">
        <f>IF(OR(C105="",L105=""),"",C105-L105)</f>
        <v/>
      </c>
    </row>
    <row r="106" ht="22" customHeight="1">
      <c r="A106" s="22" t="n">
        <v>103</v>
      </c>
      <c r="B106" s="23" t="n"/>
      <c r="C106" s="24" t="n"/>
      <c r="D106" s="22" t="n"/>
      <c r="E106" s="22" t="n"/>
      <c r="F106" s="22" t="n"/>
      <c r="G106" s="25" t="n"/>
      <c r="H106" s="25" t="n"/>
      <c r="I106" s="25" t="n"/>
      <c r="J106" s="25">
        <f>IF(G106&lt;&gt;"",G106,IF(OR(H106="",I106=""),"",H106+I106))</f>
        <v/>
      </c>
      <c r="K106" s="23" t="n"/>
      <c r="L106" s="24" t="n"/>
      <c r="M106" s="26">
        <f>IF(OR(B106="",K106=""),"",B106-K106)</f>
        <v/>
      </c>
      <c r="N106" s="24">
        <f>IF(OR(C106="",L106=""),"",C106-L106)</f>
        <v/>
      </c>
    </row>
    <row r="107" ht="22" customHeight="1">
      <c r="A107" s="27" t="n">
        <v>104</v>
      </c>
      <c r="B107" s="28" t="n"/>
      <c r="C107" s="29" t="n"/>
      <c r="D107" s="27" t="n"/>
      <c r="E107" s="27" t="n"/>
      <c r="F107" s="27" t="n"/>
      <c r="G107" s="30" t="n"/>
      <c r="H107" s="30" t="n"/>
      <c r="I107" s="30" t="n"/>
      <c r="J107" s="30">
        <f>IF(G107&lt;&gt;"",G107,IF(OR(H107="",I107=""),"",H107+I107))</f>
        <v/>
      </c>
      <c r="K107" s="28" t="n"/>
      <c r="L107" s="29" t="n"/>
      <c r="M107" s="31">
        <f>IF(OR(B107="",K107=""),"",B107-K107)</f>
        <v/>
      </c>
      <c r="N107" s="29">
        <f>IF(OR(C107="",L107=""),"",C107-L107)</f>
        <v/>
      </c>
    </row>
    <row r="108" ht="22" customHeight="1">
      <c r="A108" s="22" t="n">
        <v>105</v>
      </c>
      <c r="B108" s="23" t="n"/>
      <c r="C108" s="24" t="n"/>
      <c r="D108" s="22" t="n"/>
      <c r="E108" s="22" t="n"/>
      <c r="F108" s="22" t="n"/>
      <c r="G108" s="25" t="n"/>
      <c r="H108" s="25" t="n"/>
      <c r="I108" s="25" t="n"/>
      <c r="J108" s="25">
        <f>IF(G108&lt;&gt;"",G108,IF(OR(H108="",I108=""),"",H108+I108))</f>
        <v/>
      </c>
      <c r="K108" s="23" t="n"/>
      <c r="L108" s="24" t="n"/>
      <c r="M108" s="26">
        <f>IF(OR(B108="",K108=""),"",B108-K108)</f>
        <v/>
      </c>
      <c r="N108" s="24">
        <f>IF(OR(C108="",L108=""),"",C108-L108)</f>
        <v/>
      </c>
    </row>
    <row r="109" ht="22" customHeight="1">
      <c r="A109" s="27" t="n">
        <v>106</v>
      </c>
      <c r="B109" s="28" t="n"/>
      <c r="C109" s="29" t="n"/>
      <c r="D109" s="27" t="n"/>
      <c r="E109" s="27" t="n"/>
      <c r="F109" s="27" t="n"/>
      <c r="G109" s="30" t="n"/>
      <c r="H109" s="30" t="n"/>
      <c r="I109" s="30" t="n"/>
      <c r="J109" s="30">
        <f>IF(G109&lt;&gt;"",G109,IF(OR(H109="",I109=""),"",H109+I109))</f>
        <v/>
      </c>
      <c r="K109" s="28" t="n"/>
      <c r="L109" s="29" t="n"/>
      <c r="M109" s="31">
        <f>IF(OR(B109="",K109=""),"",B109-K109)</f>
        <v/>
      </c>
      <c r="N109" s="29">
        <f>IF(OR(C109="",L109=""),"",C109-L109)</f>
        <v/>
      </c>
    </row>
    <row r="110" ht="22" customHeight="1">
      <c r="A110" s="22" t="n">
        <v>107</v>
      </c>
      <c r="B110" s="23" t="n"/>
      <c r="C110" s="24" t="n"/>
      <c r="D110" s="22" t="n"/>
      <c r="E110" s="22" t="n"/>
      <c r="F110" s="22" t="n"/>
      <c r="G110" s="25" t="n"/>
      <c r="H110" s="25" t="n"/>
      <c r="I110" s="25" t="n"/>
      <c r="J110" s="25">
        <f>IF(G110&lt;&gt;"",G110,IF(OR(H110="",I110=""),"",H110+I110))</f>
        <v/>
      </c>
      <c r="K110" s="23" t="n"/>
      <c r="L110" s="24" t="n"/>
      <c r="M110" s="26">
        <f>IF(OR(B110="",K110=""),"",B110-K110)</f>
        <v/>
      </c>
      <c r="N110" s="24">
        <f>IF(OR(C110="",L110=""),"",C110-L110)</f>
        <v/>
      </c>
    </row>
    <row r="111" ht="22" customHeight="1">
      <c r="A111" s="27" t="n">
        <v>108</v>
      </c>
      <c r="B111" s="28" t="n"/>
      <c r="C111" s="29" t="n"/>
      <c r="D111" s="27" t="n"/>
      <c r="E111" s="27" t="n"/>
      <c r="F111" s="27" t="n"/>
      <c r="G111" s="30" t="n"/>
      <c r="H111" s="30" t="n"/>
      <c r="I111" s="30" t="n"/>
      <c r="J111" s="30">
        <f>IF(G111&lt;&gt;"",G111,IF(OR(H111="",I111=""),"",H111+I111))</f>
        <v/>
      </c>
      <c r="K111" s="28" t="n"/>
      <c r="L111" s="29" t="n"/>
      <c r="M111" s="31">
        <f>IF(OR(B111="",K111=""),"",B111-K111)</f>
        <v/>
      </c>
      <c r="N111" s="29">
        <f>IF(OR(C111="",L111=""),"",C111-L111)</f>
        <v/>
      </c>
    </row>
    <row r="112" ht="22" customHeight="1">
      <c r="A112" s="22" t="n">
        <v>109</v>
      </c>
      <c r="B112" s="23" t="n"/>
      <c r="C112" s="24" t="n"/>
      <c r="D112" s="22" t="n"/>
      <c r="E112" s="22" t="n"/>
      <c r="F112" s="22" t="n"/>
      <c r="G112" s="25" t="n"/>
      <c r="H112" s="25" t="n"/>
      <c r="I112" s="25" t="n"/>
      <c r="J112" s="25">
        <f>IF(G112&lt;&gt;"",G112,IF(OR(H112="",I112=""),"",H112+I112))</f>
        <v/>
      </c>
      <c r="K112" s="23" t="n"/>
      <c r="L112" s="24" t="n"/>
      <c r="M112" s="26">
        <f>IF(OR(B112="",K112=""),"",B112-K112)</f>
        <v/>
      </c>
      <c r="N112" s="24">
        <f>IF(OR(C112="",L112=""),"",C112-L112)</f>
        <v/>
      </c>
    </row>
    <row r="113" ht="22" customHeight="1">
      <c r="A113" s="27" t="n">
        <v>110</v>
      </c>
      <c r="B113" s="28" t="n"/>
      <c r="C113" s="29" t="n"/>
      <c r="D113" s="27" t="n"/>
      <c r="E113" s="27" t="n"/>
      <c r="F113" s="27" t="n"/>
      <c r="G113" s="30" t="n"/>
      <c r="H113" s="30" t="n"/>
      <c r="I113" s="30" t="n"/>
      <c r="J113" s="30">
        <f>IF(G113&lt;&gt;"",G113,IF(OR(H113="",I113=""),"",H113+I113))</f>
        <v/>
      </c>
      <c r="K113" s="28" t="n"/>
      <c r="L113" s="29" t="n"/>
      <c r="M113" s="31">
        <f>IF(OR(B113="",K113=""),"",B113-K113)</f>
        <v/>
      </c>
      <c r="N113" s="29">
        <f>IF(OR(C113="",L113=""),"",C113-L113)</f>
        <v/>
      </c>
    </row>
    <row r="114" ht="22" customHeight="1">
      <c r="A114" s="22" t="n">
        <v>111</v>
      </c>
      <c r="B114" s="23" t="n"/>
      <c r="C114" s="24" t="n"/>
      <c r="D114" s="22" t="n"/>
      <c r="E114" s="22" t="n"/>
      <c r="F114" s="22" t="n"/>
      <c r="G114" s="25" t="n"/>
      <c r="H114" s="25" t="n"/>
      <c r="I114" s="25" t="n"/>
      <c r="J114" s="25">
        <f>IF(G114&lt;&gt;"",G114,IF(OR(H114="",I114=""),"",H114+I114))</f>
        <v/>
      </c>
      <c r="K114" s="23" t="n"/>
      <c r="L114" s="24" t="n"/>
      <c r="M114" s="26">
        <f>IF(OR(B114="",K114=""),"",B114-K114)</f>
        <v/>
      </c>
      <c r="N114" s="24">
        <f>IF(OR(C114="",L114=""),"",C114-L114)</f>
        <v/>
      </c>
    </row>
    <row r="115" ht="22" customHeight="1">
      <c r="A115" s="27" t="n">
        <v>112</v>
      </c>
      <c r="B115" s="28" t="n"/>
      <c r="C115" s="29" t="n"/>
      <c r="D115" s="27" t="n"/>
      <c r="E115" s="27" t="n"/>
      <c r="F115" s="27" t="n"/>
      <c r="G115" s="30" t="n"/>
      <c r="H115" s="30" t="n"/>
      <c r="I115" s="30" t="n"/>
      <c r="J115" s="30">
        <f>IF(G115&lt;&gt;"",G115,IF(OR(H115="",I115=""),"",H115+I115))</f>
        <v/>
      </c>
      <c r="K115" s="28" t="n"/>
      <c r="L115" s="29" t="n"/>
      <c r="M115" s="31">
        <f>IF(OR(B115="",K115=""),"",B115-K115)</f>
        <v/>
      </c>
      <c r="N115" s="29">
        <f>IF(OR(C115="",L115=""),"",C115-L115)</f>
        <v/>
      </c>
    </row>
    <row r="116" ht="22" customHeight="1">
      <c r="A116" s="22" t="n">
        <v>113</v>
      </c>
      <c r="B116" s="23" t="n"/>
      <c r="C116" s="24" t="n"/>
      <c r="D116" s="22" t="n"/>
      <c r="E116" s="22" t="n"/>
      <c r="F116" s="22" t="n"/>
      <c r="G116" s="25" t="n"/>
      <c r="H116" s="25" t="n"/>
      <c r="I116" s="25" t="n"/>
      <c r="J116" s="25">
        <f>IF(G116&lt;&gt;"",G116,IF(OR(H116="",I116=""),"",H116+I116))</f>
        <v/>
      </c>
      <c r="K116" s="23" t="n"/>
      <c r="L116" s="24" t="n"/>
      <c r="M116" s="26">
        <f>IF(OR(B116="",K116=""),"",B116-K116)</f>
        <v/>
      </c>
      <c r="N116" s="24">
        <f>IF(OR(C116="",L116=""),"",C116-L116)</f>
        <v/>
      </c>
    </row>
    <row r="117" ht="22" customHeight="1">
      <c r="A117" s="27" t="n">
        <v>114</v>
      </c>
      <c r="B117" s="28" t="n"/>
      <c r="C117" s="29" t="n"/>
      <c r="D117" s="27" t="n"/>
      <c r="E117" s="27" t="n"/>
      <c r="F117" s="27" t="n"/>
      <c r="G117" s="30" t="n"/>
      <c r="H117" s="30" t="n"/>
      <c r="I117" s="30" t="n"/>
      <c r="J117" s="30">
        <f>IF(G117&lt;&gt;"",G117,IF(OR(H117="",I117=""),"",H117+I117))</f>
        <v/>
      </c>
      <c r="K117" s="28" t="n"/>
      <c r="L117" s="29" t="n"/>
      <c r="M117" s="31">
        <f>IF(OR(B117="",K117=""),"",B117-K117)</f>
        <v/>
      </c>
      <c r="N117" s="29">
        <f>IF(OR(C117="",L117=""),"",C117-L117)</f>
        <v/>
      </c>
    </row>
    <row r="118" ht="22" customHeight="1">
      <c r="A118" s="22" t="n">
        <v>115</v>
      </c>
      <c r="B118" s="23" t="n"/>
      <c r="C118" s="24" t="n"/>
      <c r="D118" s="22" t="n"/>
      <c r="E118" s="22" t="n"/>
      <c r="F118" s="22" t="n"/>
      <c r="G118" s="25" t="n"/>
      <c r="H118" s="25" t="n"/>
      <c r="I118" s="25" t="n"/>
      <c r="J118" s="25">
        <f>IF(G118&lt;&gt;"",G118,IF(OR(H118="",I118=""),"",H118+I118))</f>
        <v/>
      </c>
      <c r="K118" s="23" t="n"/>
      <c r="L118" s="24" t="n"/>
      <c r="M118" s="26">
        <f>IF(OR(B118="",K118=""),"",B118-K118)</f>
        <v/>
      </c>
      <c r="N118" s="24">
        <f>IF(OR(C118="",L118=""),"",C118-L118)</f>
        <v/>
      </c>
    </row>
    <row r="119" ht="22" customHeight="1">
      <c r="A119" s="27" t="n">
        <v>116</v>
      </c>
      <c r="B119" s="28" t="n"/>
      <c r="C119" s="29" t="n"/>
      <c r="D119" s="27" t="n"/>
      <c r="E119" s="27" t="n"/>
      <c r="F119" s="27" t="n"/>
      <c r="G119" s="30" t="n"/>
      <c r="H119" s="30" t="n"/>
      <c r="I119" s="30" t="n"/>
      <c r="J119" s="30">
        <f>IF(G119&lt;&gt;"",G119,IF(OR(H119="",I119=""),"",H119+I119))</f>
        <v/>
      </c>
      <c r="K119" s="28" t="n"/>
      <c r="L119" s="29" t="n"/>
      <c r="M119" s="31">
        <f>IF(OR(B119="",K119=""),"",B119-K119)</f>
        <v/>
      </c>
      <c r="N119" s="29">
        <f>IF(OR(C119="",L119=""),"",C119-L119)</f>
        <v/>
      </c>
    </row>
    <row r="120" ht="22" customHeight="1">
      <c r="A120" s="22" t="n">
        <v>117</v>
      </c>
      <c r="B120" s="23" t="n"/>
      <c r="C120" s="24" t="n"/>
      <c r="D120" s="22" t="n"/>
      <c r="E120" s="22" t="n"/>
      <c r="F120" s="22" t="n"/>
      <c r="G120" s="25" t="n"/>
      <c r="H120" s="25" t="n"/>
      <c r="I120" s="25" t="n"/>
      <c r="J120" s="25">
        <f>IF(G120&lt;&gt;"",G120,IF(OR(H120="",I120=""),"",H120+I120))</f>
        <v/>
      </c>
      <c r="K120" s="23" t="n"/>
      <c r="L120" s="24" t="n"/>
      <c r="M120" s="26">
        <f>IF(OR(B120="",K120=""),"",B120-K120)</f>
        <v/>
      </c>
      <c r="N120" s="24">
        <f>IF(OR(C120="",L120=""),"",C120-L120)</f>
        <v/>
      </c>
    </row>
    <row r="121" ht="22" customHeight="1">
      <c r="A121" s="27" t="n">
        <v>118</v>
      </c>
      <c r="B121" s="28" t="n"/>
      <c r="C121" s="29" t="n"/>
      <c r="D121" s="27" t="n"/>
      <c r="E121" s="27" t="n"/>
      <c r="F121" s="27" t="n"/>
      <c r="G121" s="30" t="n"/>
      <c r="H121" s="30" t="n"/>
      <c r="I121" s="30" t="n"/>
      <c r="J121" s="30">
        <f>IF(G121&lt;&gt;"",G121,IF(OR(H121="",I121=""),"",H121+I121))</f>
        <v/>
      </c>
      <c r="K121" s="28" t="n"/>
      <c r="L121" s="29" t="n"/>
      <c r="M121" s="31">
        <f>IF(OR(B121="",K121=""),"",B121-K121)</f>
        <v/>
      </c>
      <c r="N121" s="29">
        <f>IF(OR(C121="",L121=""),"",C121-L121)</f>
        <v/>
      </c>
    </row>
    <row r="122" ht="22" customHeight="1">
      <c r="A122" s="22" t="n">
        <v>119</v>
      </c>
      <c r="B122" s="23" t="n"/>
      <c r="C122" s="24" t="n"/>
      <c r="D122" s="22" t="n"/>
      <c r="E122" s="22" t="n"/>
      <c r="F122" s="22" t="n"/>
      <c r="G122" s="25" t="n"/>
      <c r="H122" s="25" t="n"/>
      <c r="I122" s="25" t="n"/>
      <c r="J122" s="25">
        <f>IF(G122&lt;&gt;"",G122,IF(OR(H122="",I122=""),"",H122+I122))</f>
        <v/>
      </c>
      <c r="K122" s="23" t="n"/>
      <c r="L122" s="24" t="n"/>
      <c r="M122" s="26">
        <f>IF(OR(B122="",K122=""),"",B122-K122)</f>
        <v/>
      </c>
      <c r="N122" s="24">
        <f>IF(OR(C122="",L122=""),"",C122-L122)</f>
        <v/>
      </c>
    </row>
    <row r="123" ht="22" customHeight="1">
      <c r="A123" s="27" t="n">
        <v>120</v>
      </c>
      <c r="B123" s="28" t="n"/>
      <c r="C123" s="29" t="n"/>
      <c r="D123" s="27" t="n"/>
      <c r="E123" s="27" t="n"/>
      <c r="F123" s="27" t="n"/>
      <c r="G123" s="30" t="n"/>
      <c r="H123" s="30" t="n"/>
      <c r="I123" s="30" t="n"/>
      <c r="J123" s="30">
        <f>IF(G123&lt;&gt;"",G123,IF(OR(H123="",I123=""),"",H123+I123))</f>
        <v/>
      </c>
      <c r="K123" s="28" t="n"/>
      <c r="L123" s="29" t="n"/>
      <c r="M123" s="31">
        <f>IF(OR(B123="",K123=""),"",B123-K123)</f>
        <v/>
      </c>
      <c r="N123" s="29">
        <f>IF(OR(C123="",L123=""),"",C123-L123)</f>
        <v/>
      </c>
    </row>
    <row r="124" ht="22" customHeight="1">
      <c r="A124" s="22" t="n">
        <v>121</v>
      </c>
      <c r="B124" s="23" t="n"/>
      <c r="C124" s="24" t="n"/>
      <c r="D124" s="22" t="n"/>
      <c r="E124" s="22" t="n"/>
      <c r="F124" s="22" t="n"/>
      <c r="G124" s="25" t="n"/>
      <c r="H124" s="25" t="n"/>
      <c r="I124" s="25" t="n"/>
      <c r="J124" s="25">
        <f>IF(G124&lt;&gt;"",G124,IF(OR(H124="",I124=""),"",H124+I124))</f>
        <v/>
      </c>
      <c r="K124" s="23" t="n"/>
      <c r="L124" s="24" t="n"/>
      <c r="M124" s="26">
        <f>IF(OR(B124="",K124=""),"",B124-K124)</f>
        <v/>
      </c>
      <c r="N124" s="24">
        <f>IF(OR(C124="",L124=""),"",C124-L124)</f>
        <v/>
      </c>
    </row>
    <row r="125" ht="22" customHeight="1">
      <c r="A125" s="27" t="n">
        <v>122</v>
      </c>
      <c r="B125" s="28" t="n"/>
      <c r="C125" s="29" t="n"/>
      <c r="D125" s="27" t="n"/>
      <c r="E125" s="27" t="n"/>
      <c r="F125" s="27" t="n"/>
      <c r="G125" s="30" t="n"/>
      <c r="H125" s="30" t="n"/>
      <c r="I125" s="30" t="n"/>
      <c r="J125" s="30">
        <f>IF(G125&lt;&gt;"",G125,IF(OR(H125="",I125=""),"",H125+I125))</f>
        <v/>
      </c>
      <c r="K125" s="28" t="n"/>
      <c r="L125" s="29" t="n"/>
      <c r="M125" s="31">
        <f>IF(OR(B125="",K125=""),"",B125-K125)</f>
        <v/>
      </c>
      <c r="N125" s="29">
        <f>IF(OR(C125="",L125=""),"",C125-L125)</f>
        <v/>
      </c>
    </row>
    <row r="126" ht="22" customHeight="1">
      <c r="A126" s="22" t="n">
        <v>123</v>
      </c>
      <c r="B126" s="23" t="n"/>
      <c r="C126" s="24" t="n"/>
      <c r="D126" s="22" t="n"/>
      <c r="E126" s="22" t="n"/>
      <c r="F126" s="22" t="n"/>
      <c r="G126" s="25" t="n"/>
      <c r="H126" s="25" t="n"/>
      <c r="I126" s="25" t="n"/>
      <c r="J126" s="25">
        <f>IF(G126&lt;&gt;"",G126,IF(OR(H126="",I126=""),"",H126+I126))</f>
        <v/>
      </c>
      <c r="K126" s="23" t="n"/>
      <c r="L126" s="24" t="n"/>
      <c r="M126" s="26">
        <f>IF(OR(B126="",K126=""),"",B126-K126)</f>
        <v/>
      </c>
      <c r="N126" s="24">
        <f>IF(OR(C126="",L126=""),"",C126-L126)</f>
        <v/>
      </c>
    </row>
    <row r="127" ht="22" customHeight="1">
      <c r="A127" s="27" t="n">
        <v>124</v>
      </c>
      <c r="B127" s="28" t="n"/>
      <c r="C127" s="29" t="n"/>
      <c r="D127" s="27" t="n"/>
      <c r="E127" s="27" t="n"/>
      <c r="F127" s="27" t="n"/>
      <c r="G127" s="30" t="n"/>
      <c r="H127" s="30" t="n"/>
      <c r="I127" s="30" t="n"/>
      <c r="J127" s="30">
        <f>IF(G127&lt;&gt;"",G127,IF(OR(H127="",I127=""),"",H127+I127))</f>
        <v/>
      </c>
      <c r="K127" s="28" t="n"/>
      <c r="L127" s="29" t="n"/>
      <c r="M127" s="31">
        <f>IF(OR(B127="",K127=""),"",B127-K127)</f>
        <v/>
      </c>
      <c r="N127" s="29">
        <f>IF(OR(C127="",L127=""),"",C127-L127)</f>
        <v/>
      </c>
    </row>
    <row r="128" ht="22" customHeight="1">
      <c r="A128" s="22" t="n">
        <v>125</v>
      </c>
      <c r="B128" s="23" t="n"/>
      <c r="C128" s="24" t="n"/>
      <c r="D128" s="22" t="n"/>
      <c r="E128" s="22" t="n"/>
      <c r="F128" s="22" t="n"/>
      <c r="G128" s="25" t="n"/>
      <c r="H128" s="25" t="n"/>
      <c r="I128" s="25" t="n"/>
      <c r="J128" s="25">
        <f>IF(G128&lt;&gt;"",G128,IF(OR(H128="",I128=""),"",H128+I128))</f>
        <v/>
      </c>
      <c r="K128" s="23" t="n"/>
      <c r="L128" s="24" t="n"/>
      <c r="M128" s="26">
        <f>IF(OR(B128="",K128=""),"",B128-K128)</f>
        <v/>
      </c>
      <c r="N128" s="24">
        <f>IF(OR(C128="",L128=""),"",C128-L128)</f>
        <v/>
      </c>
    </row>
    <row r="129" ht="22" customHeight="1">
      <c r="A129" s="27" t="n">
        <v>126</v>
      </c>
      <c r="B129" s="28" t="n"/>
      <c r="C129" s="29" t="n"/>
      <c r="D129" s="27" t="n"/>
      <c r="E129" s="27" t="n"/>
      <c r="F129" s="27" t="n"/>
      <c r="G129" s="30" t="n"/>
      <c r="H129" s="30" t="n"/>
      <c r="I129" s="30" t="n"/>
      <c r="J129" s="30">
        <f>IF(G129&lt;&gt;"",G129,IF(OR(H129="",I129=""),"",H129+I129))</f>
        <v/>
      </c>
      <c r="K129" s="28" t="n"/>
      <c r="L129" s="29" t="n"/>
      <c r="M129" s="31">
        <f>IF(OR(B129="",K129=""),"",B129-K129)</f>
        <v/>
      </c>
      <c r="N129" s="29">
        <f>IF(OR(C129="",L129=""),"",C129-L129)</f>
        <v/>
      </c>
    </row>
    <row r="130" ht="22" customHeight="1">
      <c r="A130" s="22" t="n">
        <v>127</v>
      </c>
      <c r="B130" s="23" t="n"/>
      <c r="C130" s="24" t="n"/>
      <c r="D130" s="22" t="n"/>
      <c r="E130" s="22" t="n"/>
      <c r="F130" s="22" t="n"/>
      <c r="G130" s="25" t="n"/>
      <c r="H130" s="25" t="n"/>
      <c r="I130" s="25" t="n"/>
      <c r="J130" s="25">
        <f>IF(G130&lt;&gt;"",G130,IF(OR(H130="",I130=""),"",H130+I130))</f>
        <v/>
      </c>
      <c r="K130" s="23" t="n"/>
      <c r="L130" s="24" t="n"/>
      <c r="M130" s="26">
        <f>IF(OR(B130="",K130=""),"",B130-K130)</f>
        <v/>
      </c>
      <c r="N130" s="24">
        <f>IF(OR(C130="",L130=""),"",C130-L130)</f>
        <v/>
      </c>
    </row>
    <row r="131" ht="22" customHeight="1">
      <c r="A131" s="27" t="n">
        <v>128</v>
      </c>
      <c r="B131" s="28" t="n"/>
      <c r="C131" s="29" t="n"/>
      <c r="D131" s="27" t="n"/>
      <c r="E131" s="27" t="n"/>
      <c r="F131" s="27" t="n"/>
      <c r="G131" s="30" t="n"/>
      <c r="H131" s="30" t="n"/>
      <c r="I131" s="30" t="n"/>
      <c r="J131" s="30">
        <f>IF(G131&lt;&gt;"",G131,IF(OR(H131="",I131=""),"",H131+I131))</f>
        <v/>
      </c>
      <c r="K131" s="28" t="n"/>
      <c r="L131" s="29" t="n"/>
      <c r="M131" s="31">
        <f>IF(OR(B131="",K131=""),"",B131-K131)</f>
        <v/>
      </c>
      <c r="N131" s="29">
        <f>IF(OR(C131="",L131=""),"",C131-L131)</f>
        <v/>
      </c>
    </row>
    <row r="132" ht="22" customHeight="1">
      <c r="A132" s="22" t="n">
        <v>129</v>
      </c>
      <c r="B132" s="23" t="n"/>
      <c r="C132" s="24" t="n"/>
      <c r="D132" s="22" t="n"/>
      <c r="E132" s="22" t="n"/>
      <c r="F132" s="22" t="n"/>
      <c r="G132" s="25" t="n"/>
      <c r="H132" s="25" t="n"/>
      <c r="I132" s="25" t="n"/>
      <c r="J132" s="25">
        <f>IF(G132&lt;&gt;"",G132,IF(OR(H132="",I132=""),"",H132+I132))</f>
        <v/>
      </c>
      <c r="K132" s="23" t="n"/>
      <c r="L132" s="24" t="n"/>
      <c r="M132" s="26">
        <f>IF(OR(B132="",K132=""),"",B132-K132)</f>
        <v/>
      </c>
      <c r="N132" s="24">
        <f>IF(OR(C132="",L132=""),"",C132-L132)</f>
        <v/>
      </c>
    </row>
    <row r="133" ht="22" customHeight="1">
      <c r="A133" s="27" t="n">
        <v>130</v>
      </c>
      <c r="B133" s="28" t="n"/>
      <c r="C133" s="29" t="n"/>
      <c r="D133" s="27" t="n"/>
      <c r="E133" s="27" t="n"/>
      <c r="F133" s="27" t="n"/>
      <c r="G133" s="30" t="n"/>
      <c r="H133" s="30" t="n"/>
      <c r="I133" s="30" t="n"/>
      <c r="J133" s="30">
        <f>IF(G133&lt;&gt;"",G133,IF(OR(H133="",I133=""),"",H133+I133))</f>
        <v/>
      </c>
      <c r="K133" s="28" t="n"/>
      <c r="L133" s="29" t="n"/>
      <c r="M133" s="31">
        <f>IF(OR(B133="",K133=""),"",B133-K133)</f>
        <v/>
      </c>
      <c r="N133" s="29">
        <f>IF(OR(C133="",L133=""),"",C133-L133)</f>
        <v/>
      </c>
    </row>
    <row r="134" ht="22" customHeight="1">
      <c r="A134" s="22" t="n">
        <v>131</v>
      </c>
      <c r="B134" s="23" t="n"/>
      <c r="C134" s="24" t="n"/>
      <c r="D134" s="22" t="n"/>
      <c r="E134" s="22" t="n"/>
      <c r="F134" s="22" t="n"/>
      <c r="G134" s="25" t="n"/>
      <c r="H134" s="25" t="n"/>
      <c r="I134" s="25" t="n"/>
      <c r="J134" s="25">
        <f>IF(G134&lt;&gt;"",G134,IF(OR(H134="",I134=""),"",H134+I134))</f>
        <v/>
      </c>
      <c r="K134" s="23" t="n"/>
      <c r="L134" s="24" t="n"/>
      <c r="M134" s="26">
        <f>IF(OR(B134="",K134=""),"",B134-K134)</f>
        <v/>
      </c>
      <c r="N134" s="24">
        <f>IF(OR(C134="",L134=""),"",C134-L134)</f>
        <v/>
      </c>
    </row>
    <row r="135" ht="22" customHeight="1">
      <c r="A135" s="27" t="n">
        <v>132</v>
      </c>
      <c r="B135" s="28" t="n"/>
      <c r="C135" s="29" t="n"/>
      <c r="D135" s="27" t="n"/>
      <c r="E135" s="27" t="n"/>
      <c r="F135" s="27" t="n"/>
      <c r="G135" s="30" t="n"/>
      <c r="H135" s="30" t="n"/>
      <c r="I135" s="30" t="n"/>
      <c r="J135" s="30">
        <f>IF(G135&lt;&gt;"",G135,IF(OR(H135="",I135=""),"",H135+I135))</f>
        <v/>
      </c>
      <c r="K135" s="28" t="n"/>
      <c r="L135" s="29" t="n"/>
      <c r="M135" s="31">
        <f>IF(OR(B135="",K135=""),"",B135-K135)</f>
        <v/>
      </c>
      <c r="N135" s="29">
        <f>IF(OR(C135="",L135=""),"",C135-L135)</f>
        <v/>
      </c>
    </row>
    <row r="136" ht="22" customHeight="1">
      <c r="A136" s="22" t="n">
        <v>133</v>
      </c>
      <c r="B136" s="23" t="n"/>
      <c r="C136" s="24" t="n"/>
      <c r="D136" s="22" t="n"/>
      <c r="E136" s="22" t="n"/>
      <c r="F136" s="22" t="n"/>
      <c r="G136" s="25" t="n"/>
      <c r="H136" s="25" t="n"/>
      <c r="I136" s="25" t="n"/>
      <c r="J136" s="25">
        <f>IF(G136&lt;&gt;"",G136,IF(OR(H136="",I136=""),"",H136+I136))</f>
        <v/>
      </c>
      <c r="K136" s="23" t="n"/>
      <c r="L136" s="24" t="n"/>
      <c r="M136" s="26">
        <f>IF(OR(B136="",K136=""),"",B136-K136)</f>
        <v/>
      </c>
      <c r="N136" s="24">
        <f>IF(OR(C136="",L136=""),"",C136-L136)</f>
        <v/>
      </c>
    </row>
    <row r="137" ht="22" customHeight="1">
      <c r="A137" s="27" t="n">
        <v>134</v>
      </c>
      <c r="B137" s="28" t="n"/>
      <c r="C137" s="29" t="n"/>
      <c r="D137" s="27" t="n"/>
      <c r="E137" s="27" t="n"/>
      <c r="F137" s="27" t="n"/>
      <c r="G137" s="30" t="n"/>
      <c r="H137" s="30" t="n"/>
      <c r="I137" s="30" t="n"/>
      <c r="J137" s="30">
        <f>IF(G137&lt;&gt;"",G137,IF(OR(H137="",I137=""),"",H137+I137))</f>
        <v/>
      </c>
      <c r="K137" s="28" t="n"/>
      <c r="L137" s="29" t="n"/>
      <c r="M137" s="31">
        <f>IF(OR(B137="",K137=""),"",B137-K137)</f>
        <v/>
      </c>
      <c r="N137" s="29">
        <f>IF(OR(C137="",L137=""),"",C137-L137)</f>
        <v/>
      </c>
    </row>
    <row r="138" ht="22" customHeight="1">
      <c r="A138" s="22" t="n">
        <v>135</v>
      </c>
      <c r="B138" s="23" t="n"/>
      <c r="C138" s="24" t="n"/>
      <c r="D138" s="22" t="n"/>
      <c r="E138" s="22" t="n"/>
      <c r="F138" s="22" t="n"/>
      <c r="G138" s="25" t="n"/>
      <c r="H138" s="25" t="n"/>
      <c r="I138" s="25" t="n"/>
      <c r="J138" s="25">
        <f>IF(G138&lt;&gt;"",G138,IF(OR(H138="",I138=""),"",H138+I138))</f>
        <v/>
      </c>
      <c r="K138" s="23" t="n"/>
      <c r="L138" s="24" t="n"/>
      <c r="M138" s="26">
        <f>IF(OR(B138="",K138=""),"",B138-K138)</f>
        <v/>
      </c>
      <c r="N138" s="24">
        <f>IF(OR(C138="",L138=""),"",C138-L138)</f>
        <v/>
      </c>
    </row>
    <row r="139" ht="22" customHeight="1">
      <c r="A139" s="27" t="n">
        <v>136</v>
      </c>
      <c r="B139" s="28" t="n"/>
      <c r="C139" s="29" t="n"/>
      <c r="D139" s="27" t="n"/>
      <c r="E139" s="27" t="n"/>
      <c r="F139" s="27" t="n"/>
      <c r="G139" s="30" t="n"/>
      <c r="H139" s="30" t="n"/>
      <c r="I139" s="30" t="n"/>
      <c r="J139" s="30">
        <f>IF(G139&lt;&gt;"",G139,IF(OR(H139="",I139=""),"",H139+I139))</f>
        <v/>
      </c>
      <c r="K139" s="28" t="n"/>
      <c r="L139" s="29" t="n"/>
      <c r="M139" s="31">
        <f>IF(OR(B139="",K139=""),"",B139-K139)</f>
        <v/>
      </c>
      <c r="N139" s="29">
        <f>IF(OR(C139="",L139=""),"",C139-L139)</f>
        <v/>
      </c>
    </row>
    <row r="140" ht="22" customHeight="1">
      <c r="A140" s="22" t="n">
        <v>137</v>
      </c>
      <c r="B140" s="23" t="n"/>
      <c r="C140" s="24" t="n"/>
      <c r="D140" s="22" t="n"/>
      <c r="E140" s="22" t="n"/>
      <c r="F140" s="22" t="n"/>
      <c r="G140" s="25" t="n"/>
      <c r="H140" s="25" t="n"/>
      <c r="I140" s="25" t="n"/>
      <c r="J140" s="25">
        <f>IF(G140&lt;&gt;"",G140,IF(OR(H140="",I140=""),"",H140+I140))</f>
        <v/>
      </c>
      <c r="K140" s="23" t="n"/>
      <c r="L140" s="24" t="n"/>
      <c r="M140" s="26">
        <f>IF(OR(B140="",K140=""),"",B140-K140)</f>
        <v/>
      </c>
      <c r="N140" s="24">
        <f>IF(OR(C140="",L140=""),"",C140-L140)</f>
        <v/>
      </c>
    </row>
    <row r="141" ht="22" customHeight="1">
      <c r="A141" s="27" t="n">
        <v>138</v>
      </c>
      <c r="B141" s="28" t="n"/>
      <c r="C141" s="29" t="n"/>
      <c r="D141" s="27" t="n"/>
      <c r="E141" s="27" t="n"/>
      <c r="F141" s="27" t="n"/>
      <c r="G141" s="30" t="n"/>
      <c r="H141" s="30" t="n"/>
      <c r="I141" s="30" t="n"/>
      <c r="J141" s="30">
        <f>IF(G141&lt;&gt;"",G141,IF(OR(H141="",I141=""),"",H141+I141))</f>
        <v/>
      </c>
      <c r="K141" s="28" t="n"/>
      <c r="L141" s="29" t="n"/>
      <c r="M141" s="31">
        <f>IF(OR(B141="",K141=""),"",B141-K141)</f>
        <v/>
      </c>
      <c r="N141" s="29">
        <f>IF(OR(C141="",L141=""),"",C141-L141)</f>
        <v/>
      </c>
    </row>
    <row r="142" ht="22" customHeight="1">
      <c r="A142" s="22" t="n">
        <v>139</v>
      </c>
      <c r="B142" s="23" t="n"/>
      <c r="C142" s="24" t="n"/>
      <c r="D142" s="22" t="n"/>
      <c r="E142" s="22" t="n"/>
      <c r="F142" s="22" t="n"/>
      <c r="G142" s="25" t="n"/>
      <c r="H142" s="25" t="n"/>
      <c r="I142" s="25" t="n"/>
      <c r="J142" s="25">
        <f>IF(G142&lt;&gt;"",G142,IF(OR(H142="",I142=""),"",H142+I142))</f>
        <v/>
      </c>
      <c r="K142" s="23" t="n"/>
      <c r="L142" s="24" t="n"/>
      <c r="M142" s="26">
        <f>IF(OR(B142="",K142=""),"",B142-K142)</f>
        <v/>
      </c>
      <c r="N142" s="24">
        <f>IF(OR(C142="",L142=""),"",C142-L142)</f>
        <v/>
      </c>
    </row>
    <row r="143" ht="22" customHeight="1">
      <c r="A143" s="27" t="n">
        <v>140</v>
      </c>
      <c r="B143" s="28" t="n"/>
      <c r="C143" s="29" t="n"/>
      <c r="D143" s="27" t="n"/>
      <c r="E143" s="27" t="n"/>
      <c r="F143" s="27" t="n"/>
      <c r="G143" s="30" t="n"/>
      <c r="H143" s="30" t="n"/>
      <c r="I143" s="30" t="n"/>
      <c r="J143" s="30">
        <f>IF(G143&lt;&gt;"",G143,IF(OR(H143="",I143=""),"",H143+I143))</f>
        <v/>
      </c>
      <c r="K143" s="28" t="n"/>
      <c r="L143" s="29" t="n"/>
      <c r="M143" s="31">
        <f>IF(OR(B143="",K143=""),"",B143-K143)</f>
        <v/>
      </c>
      <c r="N143" s="29">
        <f>IF(OR(C143="",L143=""),"",C143-L143)</f>
        <v/>
      </c>
    </row>
    <row r="144" ht="22" customHeight="1">
      <c r="A144" s="22" t="n">
        <v>141</v>
      </c>
      <c r="B144" s="23" t="n"/>
      <c r="C144" s="24" t="n"/>
      <c r="D144" s="22" t="n"/>
      <c r="E144" s="22" t="n"/>
      <c r="F144" s="22" t="n"/>
      <c r="G144" s="25" t="n"/>
      <c r="H144" s="25" t="n"/>
      <c r="I144" s="25" t="n"/>
      <c r="J144" s="25">
        <f>IF(G144&lt;&gt;"",G144,IF(OR(H144="",I144=""),"",H144+I144))</f>
        <v/>
      </c>
      <c r="K144" s="23" t="n"/>
      <c r="L144" s="24" t="n"/>
      <c r="M144" s="26">
        <f>IF(OR(B144="",K144=""),"",B144-K144)</f>
        <v/>
      </c>
      <c r="N144" s="24">
        <f>IF(OR(C144="",L144=""),"",C144-L144)</f>
        <v/>
      </c>
    </row>
    <row r="145" ht="22" customHeight="1">
      <c r="A145" s="27" t="n">
        <v>142</v>
      </c>
      <c r="B145" s="28" t="n"/>
      <c r="C145" s="29" t="n"/>
      <c r="D145" s="27" t="n"/>
      <c r="E145" s="27" t="n"/>
      <c r="F145" s="27" t="n"/>
      <c r="G145" s="30" t="n"/>
      <c r="H145" s="30" t="n"/>
      <c r="I145" s="30" t="n"/>
      <c r="J145" s="30">
        <f>IF(G145&lt;&gt;"",G145,IF(OR(H145="",I145=""),"",H145+I145))</f>
        <v/>
      </c>
      <c r="K145" s="28" t="n"/>
      <c r="L145" s="29" t="n"/>
      <c r="M145" s="31">
        <f>IF(OR(B145="",K145=""),"",B145-K145)</f>
        <v/>
      </c>
      <c r="N145" s="29">
        <f>IF(OR(C145="",L145=""),"",C145-L145)</f>
        <v/>
      </c>
    </row>
    <row r="146" ht="22" customHeight="1">
      <c r="A146" s="22" t="n">
        <v>143</v>
      </c>
      <c r="B146" s="23" t="n"/>
      <c r="C146" s="24" t="n"/>
      <c r="D146" s="22" t="n"/>
      <c r="E146" s="22" t="n"/>
      <c r="F146" s="22" t="n"/>
      <c r="G146" s="25" t="n"/>
      <c r="H146" s="25" t="n"/>
      <c r="I146" s="25" t="n"/>
      <c r="J146" s="25">
        <f>IF(G146&lt;&gt;"",G146,IF(OR(H146="",I146=""),"",H146+I146))</f>
        <v/>
      </c>
      <c r="K146" s="23" t="n"/>
      <c r="L146" s="24" t="n"/>
      <c r="M146" s="26">
        <f>IF(OR(B146="",K146=""),"",B146-K146)</f>
        <v/>
      </c>
      <c r="N146" s="24">
        <f>IF(OR(C146="",L146=""),"",C146-L146)</f>
        <v/>
      </c>
    </row>
    <row r="147" ht="22" customHeight="1">
      <c r="A147" s="27" t="n">
        <v>144</v>
      </c>
      <c r="B147" s="28" t="n"/>
      <c r="C147" s="29" t="n"/>
      <c r="D147" s="27" t="n"/>
      <c r="E147" s="27" t="n"/>
      <c r="F147" s="27" t="n"/>
      <c r="G147" s="30" t="n"/>
      <c r="H147" s="30" t="n"/>
      <c r="I147" s="30" t="n"/>
      <c r="J147" s="30">
        <f>IF(G147&lt;&gt;"",G147,IF(OR(H147="",I147=""),"",H147+I147))</f>
        <v/>
      </c>
      <c r="K147" s="28" t="n"/>
      <c r="L147" s="29" t="n"/>
      <c r="M147" s="31">
        <f>IF(OR(B147="",K147=""),"",B147-K147)</f>
        <v/>
      </c>
      <c r="N147" s="29">
        <f>IF(OR(C147="",L147=""),"",C147-L147)</f>
        <v/>
      </c>
    </row>
    <row r="148" ht="22" customHeight="1">
      <c r="A148" s="22" t="n">
        <v>145</v>
      </c>
      <c r="B148" s="23" t="n"/>
      <c r="C148" s="24" t="n"/>
      <c r="D148" s="22" t="n"/>
      <c r="E148" s="22" t="n"/>
      <c r="F148" s="22" t="n"/>
      <c r="G148" s="25" t="n"/>
      <c r="H148" s="25" t="n"/>
      <c r="I148" s="25" t="n"/>
      <c r="J148" s="25">
        <f>IF(G148&lt;&gt;"",G148,IF(OR(H148="",I148=""),"",H148+I148))</f>
        <v/>
      </c>
      <c r="K148" s="23" t="n"/>
      <c r="L148" s="24" t="n"/>
      <c r="M148" s="26">
        <f>IF(OR(B148="",K148=""),"",B148-K148)</f>
        <v/>
      </c>
      <c r="N148" s="24">
        <f>IF(OR(C148="",L148=""),"",C148-L148)</f>
        <v/>
      </c>
    </row>
    <row r="149" ht="22" customHeight="1">
      <c r="A149" s="27" t="n">
        <v>146</v>
      </c>
      <c r="B149" s="28" t="n"/>
      <c r="C149" s="29" t="n"/>
      <c r="D149" s="27" t="n"/>
      <c r="E149" s="27" t="n"/>
      <c r="F149" s="27" t="n"/>
      <c r="G149" s="30" t="n"/>
      <c r="H149" s="30" t="n"/>
      <c r="I149" s="30" t="n"/>
      <c r="J149" s="30">
        <f>IF(G149&lt;&gt;"",G149,IF(OR(H149="",I149=""),"",H149+I149))</f>
        <v/>
      </c>
      <c r="K149" s="28" t="n"/>
      <c r="L149" s="29" t="n"/>
      <c r="M149" s="31">
        <f>IF(OR(B149="",K149=""),"",B149-K149)</f>
        <v/>
      </c>
      <c r="N149" s="29">
        <f>IF(OR(C149="",L149=""),"",C149-L149)</f>
        <v/>
      </c>
    </row>
    <row r="150" ht="22" customHeight="1">
      <c r="A150" s="22" t="n">
        <v>147</v>
      </c>
      <c r="B150" s="23" t="n"/>
      <c r="C150" s="24" t="n"/>
      <c r="D150" s="22" t="n"/>
      <c r="E150" s="22" t="n"/>
      <c r="F150" s="22" t="n"/>
      <c r="G150" s="25" t="n"/>
      <c r="H150" s="25" t="n"/>
      <c r="I150" s="25" t="n"/>
      <c r="J150" s="25">
        <f>IF(G150&lt;&gt;"",G150,IF(OR(H150="",I150=""),"",H150+I150))</f>
        <v/>
      </c>
      <c r="K150" s="23" t="n"/>
      <c r="L150" s="24" t="n"/>
      <c r="M150" s="26">
        <f>IF(OR(B150="",K150=""),"",B150-K150)</f>
        <v/>
      </c>
      <c r="N150" s="24">
        <f>IF(OR(C150="",L150=""),"",C150-L150)</f>
        <v/>
      </c>
    </row>
    <row r="151" ht="22" customHeight="1">
      <c r="A151" s="27" t="n">
        <v>148</v>
      </c>
      <c r="B151" s="28" t="n"/>
      <c r="C151" s="29" t="n"/>
      <c r="D151" s="27" t="n"/>
      <c r="E151" s="27" t="n"/>
      <c r="F151" s="27" t="n"/>
      <c r="G151" s="30" t="n"/>
      <c r="H151" s="30" t="n"/>
      <c r="I151" s="30" t="n"/>
      <c r="J151" s="30">
        <f>IF(G151&lt;&gt;"",G151,IF(OR(H151="",I151=""),"",H151+I151))</f>
        <v/>
      </c>
      <c r="K151" s="28" t="n"/>
      <c r="L151" s="29" t="n"/>
      <c r="M151" s="31">
        <f>IF(OR(B151="",K151=""),"",B151-K151)</f>
        <v/>
      </c>
      <c r="N151" s="29">
        <f>IF(OR(C151="",L151=""),"",C151-L151)</f>
        <v/>
      </c>
    </row>
    <row r="152" ht="22" customHeight="1">
      <c r="A152" s="22" t="n">
        <v>149</v>
      </c>
      <c r="B152" s="23" t="n"/>
      <c r="C152" s="24" t="n"/>
      <c r="D152" s="22" t="n"/>
      <c r="E152" s="22" t="n"/>
      <c r="F152" s="22" t="n"/>
      <c r="G152" s="25" t="n"/>
      <c r="H152" s="25" t="n"/>
      <c r="I152" s="25" t="n"/>
      <c r="J152" s="25">
        <f>IF(G152&lt;&gt;"",G152,IF(OR(H152="",I152=""),"",H152+I152))</f>
        <v/>
      </c>
      <c r="K152" s="23" t="n"/>
      <c r="L152" s="24" t="n"/>
      <c r="M152" s="26">
        <f>IF(OR(B152="",K152=""),"",B152-K152)</f>
        <v/>
      </c>
      <c r="N152" s="24">
        <f>IF(OR(C152="",L152=""),"",C152-L152)</f>
        <v/>
      </c>
    </row>
    <row r="153" ht="22" customHeight="1">
      <c r="A153" s="27" t="n">
        <v>150</v>
      </c>
      <c r="B153" s="28" t="n"/>
      <c r="C153" s="29" t="n"/>
      <c r="D153" s="27" t="n"/>
      <c r="E153" s="27" t="n"/>
      <c r="F153" s="27" t="n"/>
      <c r="G153" s="30" t="n"/>
      <c r="H153" s="30" t="n"/>
      <c r="I153" s="30" t="n"/>
      <c r="J153" s="30">
        <f>IF(G153&lt;&gt;"",G153,IF(OR(H153="",I153=""),"",H153+I153))</f>
        <v/>
      </c>
      <c r="K153" s="28" t="n"/>
      <c r="L153" s="29" t="n"/>
      <c r="M153" s="31">
        <f>IF(OR(B153="",K153=""),"",B153-K153)</f>
        <v/>
      </c>
      <c r="N153" s="29">
        <f>IF(OR(C153="",L153=""),"",C153-L153)</f>
        <v/>
      </c>
    </row>
    <row r="154">
      <c r="A154" s="35" t="inlineStr">
        <is>
          <t>TOTAL GASTO EM CORRETIVA</t>
        </is>
      </c>
      <c r="B154" s="36" t="n"/>
      <c r="C154" s="36" t="n"/>
      <c r="D154" s="36" t="n"/>
      <c r="E154" s="36" t="n"/>
      <c r="F154" s="36" t="n"/>
      <c r="G154" s="36" t="n"/>
      <c r="H154" s="36" t="n"/>
      <c r="I154" s="36" t="n"/>
      <c r="J154" s="37">
        <f>SUM(J4:J153)</f>
        <v/>
      </c>
      <c r="K154" s="36" t="n"/>
      <c r="L154" s="36" t="n"/>
      <c r="M154" s="36" t="n"/>
      <c r="N154" s="36" t="n"/>
    </row>
  </sheetData>
  <autoFilter ref="A3:N153"/>
  <mergeCells count="2">
    <mergeCell ref="A154:I154"/>
    <mergeCell ref="A1:N1"/>
  </mergeCells>
  <conditionalFormatting sqref="J4:J153">
    <cfRule type="cellIs" priority="1" operator="greaterThan" dxfId="0">
      <formula>1000</formula>
    </cfRule>
  </conditionalFormatting>
  <dataValidations count="1">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showDropDown="0" showInputMessage="0" showErrorMessage="0" allowBlank="1" type="list">
      <formula1>=$P$1:$P$57</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C0392B"/>
    <outlinePr summaryBelow="1" summaryRight="1"/>
    <pageSetUpPr fitToPage="1"/>
  </sheetPr>
  <dimension ref="A1:N84"/>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20" customWidth="1" min="3" max="3"/>
    <col width="22" customWidth="1" min="4" max="4"/>
    <col width="28" customWidth="1" min="5" max="5"/>
    <col width="18" customWidth="1" min="6" max="6"/>
    <col width="6" customWidth="1" min="7" max="7"/>
    <col width="16" customWidth="1" min="8" max="8"/>
    <col width="18" customWidth="1" min="9" max="9"/>
    <col width="18" customWidth="1" min="10" max="10"/>
    <col width="20" customWidth="1" min="11" max="11"/>
    <col width="14" customWidth="1" min="12" max="12"/>
    <col width="18" customWidth="1" min="13" max="13"/>
    <col width="28" customWidth="1" min="14" max="14"/>
  </cols>
  <sheetData>
    <row r="1" ht="38" customHeight="1">
      <c r="A1" s="47" t="inlineStr">
        <is>
          <t>CONTROLE DE PNEUS — KIA BONGO 2014</t>
        </is>
      </c>
      <c r="B1" s="48" t="n"/>
      <c r="C1" s="48" t="n"/>
      <c r="D1" s="48" t="n"/>
      <c r="E1" s="48" t="n"/>
      <c r="F1" s="48" t="n"/>
      <c r="G1" s="48" t="n"/>
      <c r="H1" s="48" t="n"/>
      <c r="I1" s="48" t="n"/>
      <c r="J1" s="48" t="n"/>
      <c r="K1" s="48" t="n"/>
      <c r="L1" s="48" t="n"/>
      <c r="M1" s="48" t="n"/>
      <c r="N1" s="48" t="n"/>
    </row>
    <row r="2">
      <c r="A2" s="49" t="inlineStr">
        <is>
          <t>Medida padrão: 205/75 R16</t>
        </is>
      </c>
    </row>
    <row r="3" ht="32" customHeight="1">
      <c r="A3" s="12" t="inlineStr">
        <is>
          <t>Nº</t>
        </is>
      </c>
      <c r="B3" s="12" t="inlineStr">
        <is>
          <t>Data Compra</t>
        </is>
      </c>
      <c r="C3" s="12" t="inlineStr">
        <is>
          <t>Odômetro Compra (km)</t>
        </is>
      </c>
      <c r="D3" s="12" t="inlineStr">
        <is>
          <t>Posição (DE/DD/TE/TD/Estepe)</t>
        </is>
      </c>
      <c r="E3" s="12" t="inlineStr">
        <is>
          <t>Marca / Modelo Pneu</t>
        </is>
      </c>
      <c r="F3" s="12" t="inlineStr">
        <is>
          <t>Valor Unitário (R$)</t>
        </is>
      </c>
      <c r="G3" s="12" t="inlineStr">
        <is>
          <t>Qtd</t>
        </is>
      </c>
      <c r="H3" s="12" t="inlineStr">
        <is>
          <t>Valor Total (R$)</t>
        </is>
      </c>
      <c r="I3" s="12" t="inlineStr">
        <is>
          <t>Data Troca / Descarte</t>
        </is>
      </c>
      <c r="J3" s="12" t="inlineStr">
        <is>
          <t>Odômetro Troca (km)</t>
        </is>
      </c>
      <c r="K3" s="12" t="inlineStr">
        <is>
          <t>Km Rodados (Vida Útil)</t>
        </is>
      </c>
      <c r="L3" s="12" t="inlineStr">
        <is>
          <t>Dias de Uso</t>
        </is>
      </c>
      <c r="M3" s="12" t="inlineStr">
        <is>
          <t>Custo por Km (R$/km)</t>
        </is>
      </c>
      <c r="N3" s="12" t="inlineStr">
        <is>
          <t>Motivo Troca</t>
        </is>
      </c>
    </row>
    <row r="4" ht="22" customHeight="1">
      <c r="A4" s="22" t="n">
        <v>1</v>
      </c>
      <c r="B4" s="23" t="n"/>
      <c r="C4" s="24" t="n"/>
      <c r="D4" s="22" t="n"/>
      <c r="E4" s="22" t="n"/>
      <c r="F4" s="25" t="n"/>
      <c r="G4" s="26" t="n"/>
      <c r="H4" s="25">
        <f>IF(OR(F4="",G4=""),"",F4*G4)</f>
        <v/>
      </c>
      <c r="I4" s="23" t="n"/>
      <c r="J4" s="24" t="n"/>
      <c r="K4" s="24">
        <f>IF(OR(C4="",J4=""),"",J4-C4)</f>
        <v/>
      </c>
      <c r="L4" s="26">
        <f>IF(OR(B4="",I4=""),"",I4-B4)</f>
        <v/>
      </c>
      <c r="M4" s="39">
        <f>IF(OR(H4="",K4="",K4=0),"",H4/K4)</f>
        <v/>
      </c>
      <c r="N4" s="22" t="n"/>
    </row>
    <row r="5" ht="22" customHeight="1">
      <c r="A5" s="27" t="n">
        <v>2</v>
      </c>
      <c r="B5" s="28" t="n"/>
      <c r="C5" s="29" t="n"/>
      <c r="D5" s="27" t="n"/>
      <c r="E5" s="27" t="n"/>
      <c r="F5" s="30" t="n"/>
      <c r="G5" s="31" t="n"/>
      <c r="H5" s="30">
        <f>IF(OR(F5="",G5=""),"",F5*G5)</f>
        <v/>
      </c>
      <c r="I5" s="28" t="n"/>
      <c r="J5" s="29" t="n"/>
      <c r="K5" s="29">
        <f>IF(OR(C5="",J5=""),"",J5-C5)</f>
        <v/>
      </c>
      <c r="L5" s="31">
        <f>IF(OR(B5="",I5=""),"",I5-B5)</f>
        <v/>
      </c>
      <c r="M5" s="40">
        <f>IF(OR(H5="",K5="",K5=0),"",H5/K5)</f>
        <v/>
      </c>
      <c r="N5" s="27" t="n"/>
    </row>
    <row r="6" ht="22" customHeight="1">
      <c r="A6" s="22" t="n">
        <v>3</v>
      </c>
      <c r="B6" s="23" t="n"/>
      <c r="C6" s="24" t="n"/>
      <c r="D6" s="22" t="n"/>
      <c r="E6" s="22" t="n"/>
      <c r="F6" s="25" t="n"/>
      <c r="G6" s="26" t="n"/>
      <c r="H6" s="25">
        <f>IF(OR(F6="",G6=""),"",F6*G6)</f>
        <v/>
      </c>
      <c r="I6" s="23" t="n"/>
      <c r="J6" s="24" t="n"/>
      <c r="K6" s="24">
        <f>IF(OR(C6="",J6=""),"",J6-C6)</f>
        <v/>
      </c>
      <c r="L6" s="26">
        <f>IF(OR(B6="",I6=""),"",I6-B6)</f>
        <v/>
      </c>
      <c r="M6" s="39">
        <f>IF(OR(H6="",K6="",K6=0),"",H6/K6)</f>
        <v/>
      </c>
      <c r="N6" s="22" t="n"/>
    </row>
    <row r="7" ht="22" customHeight="1">
      <c r="A7" s="27" t="n">
        <v>4</v>
      </c>
      <c r="B7" s="28" t="n"/>
      <c r="C7" s="29" t="n"/>
      <c r="D7" s="27" t="n"/>
      <c r="E7" s="27" t="n"/>
      <c r="F7" s="30" t="n"/>
      <c r="G7" s="31" t="n"/>
      <c r="H7" s="30">
        <f>IF(OR(F7="",G7=""),"",F7*G7)</f>
        <v/>
      </c>
      <c r="I7" s="28" t="n"/>
      <c r="J7" s="29" t="n"/>
      <c r="K7" s="29">
        <f>IF(OR(C7="",J7=""),"",J7-C7)</f>
        <v/>
      </c>
      <c r="L7" s="31">
        <f>IF(OR(B7="",I7=""),"",I7-B7)</f>
        <v/>
      </c>
      <c r="M7" s="40">
        <f>IF(OR(H7="",K7="",K7=0),"",H7/K7)</f>
        <v/>
      </c>
      <c r="N7" s="27" t="n"/>
    </row>
    <row r="8" ht="22" customHeight="1">
      <c r="A8" s="22" t="n">
        <v>5</v>
      </c>
      <c r="B8" s="23" t="n"/>
      <c r="C8" s="24" t="n"/>
      <c r="D8" s="22" t="n"/>
      <c r="E8" s="22" t="n"/>
      <c r="F8" s="25" t="n"/>
      <c r="G8" s="26" t="n"/>
      <c r="H8" s="25">
        <f>IF(OR(F8="",G8=""),"",F8*G8)</f>
        <v/>
      </c>
      <c r="I8" s="23" t="n"/>
      <c r="J8" s="24" t="n"/>
      <c r="K8" s="24">
        <f>IF(OR(C8="",J8=""),"",J8-C8)</f>
        <v/>
      </c>
      <c r="L8" s="26">
        <f>IF(OR(B8="",I8=""),"",I8-B8)</f>
        <v/>
      </c>
      <c r="M8" s="39">
        <f>IF(OR(H8="",K8="",K8=0),"",H8/K8)</f>
        <v/>
      </c>
      <c r="N8" s="22" t="n"/>
    </row>
    <row r="9" ht="22" customHeight="1">
      <c r="A9" s="27" t="n">
        <v>6</v>
      </c>
      <c r="B9" s="28" t="n"/>
      <c r="C9" s="29" t="n"/>
      <c r="D9" s="27" t="n"/>
      <c r="E9" s="27" t="n"/>
      <c r="F9" s="30" t="n"/>
      <c r="G9" s="31" t="n"/>
      <c r="H9" s="30">
        <f>IF(OR(F9="",G9=""),"",F9*G9)</f>
        <v/>
      </c>
      <c r="I9" s="28" t="n"/>
      <c r="J9" s="29" t="n"/>
      <c r="K9" s="29">
        <f>IF(OR(C9="",J9=""),"",J9-C9)</f>
        <v/>
      </c>
      <c r="L9" s="31">
        <f>IF(OR(B9="",I9=""),"",I9-B9)</f>
        <v/>
      </c>
      <c r="M9" s="40">
        <f>IF(OR(H9="",K9="",K9=0),"",H9/K9)</f>
        <v/>
      </c>
      <c r="N9" s="27" t="n"/>
    </row>
    <row r="10" ht="22" customHeight="1">
      <c r="A10" s="22" t="n">
        <v>7</v>
      </c>
      <c r="B10" s="23" t="n"/>
      <c r="C10" s="24" t="n"/>
      <c r="D10" s="22" t="n"/>
      <c r="E10" s="22" t="n"/>
      <c r="F10" s="25" t="n"/>
      <c r="G10" s="26" t="n"/>
      <c r="H10" s="25">
        <f>IF(OR(F10="",G10=""),"",F10*G10)</f>
        <v/>
      </c>
      <c r="I10" s="23" t="n"/>
      <c r="J10" s="24" t="n"/>
      <c r="K10" s="24">
        <f>IF(OR(C10="",J10=""),"",J10-C10)</f>
        <v/>
      </c>
      <c r="L10" s="26">
        <f>IF(OR(B10="",I10=""),"",I10-B10)</f>
        <v/>
      </c>
      <c r="M10" s="39">
        <f>IF(OR(H10="",K10="",K10=0),"",H10/K10)</f>
        <v/>
      </c>
      <c r="N10" s="22" t="n"/>
    </row>
    <row r="11" ht="22" customHeight="1">
      <c r="A11" s="27" t="n">
        <v>8</v>
      </c>
      <c r="B11" s="28" t="n"/>
      <c r="C11" s="29" t="n"/>
      <c r="D11" s="27" t="n"/>
      <c r="E11" s="27" t="n"/>
      <c r="F11" s="30" t="n"/>
      <c r="G11" s="31" t="n"/>
      <c r="H11" s="30">
        <f>IF(OR(F11="",G11=""),"",F11*G11)</f>
        <v/>
      </c>
      <c r="I11" s="28" t="n"/>
      <c r="J11" s="29" t="n"/>
      <c r="K11" s="29">
        <f>IF(OR(C11="",J11=""),"",J11-C11)</f>
        <v/>
      </c>
      <c r="L11" s="31">
        <f>IF(OR(B11="",I11=""),"",I11-B11)</f>
        <v/>
      </c>
      <c r="M11" s="40">
        <f>IF(OR(H11="",K11="",K11=0),"",H11/K11)</f>
        <v/>
      </c>
      <c r="N11" s="27" t="n"/>
    </row>
    <row r="12" ht="22" customHeight="1">
      <c r="A12" s="22" t="n">
        <v>9</v>
      </c>
      <c r="B12" s="23" t="n"/>
      <c r="C12" s="24" t="n"/>
      <c r="D12" s="22" t="n"/>
      <c r="E12" s="22" t="n"/>
      <c r="F12" s="25" t="n"/>
      <c r="G12" s="26" t="n"/>
      <c r="H12" s="25">
        <f>IF(OR(F12="",G12=""),"",F12*G12)</f>
        <v/>
      </c>
      <c r="I12" s="23" t="n"/>
      <c r="J12" s="24" t="n"/>
      <c r="K12" s="24">
        <f>IF(OR(C12="",J12=""),"",J12-C12)</f>
        <v/>
      </c>
      <c r="L12" s="26">
        <f>IF(OR(B12="",I12=""),"",I12-B12)</f>
        <v/>
      </c>
      <c r="M12" s="39">
        <f>IF(OR(H12="",K12="",K12=0),"",H12/K12)</f>
        <v/>
      </c>
      <c r="N12" s="22" t="n"/>
    </row>
    <row r="13" ht="22" customHeight="1">
      <c r="A13" s="27" t="n">
        <v>10</v>
      </c>
      <c r="B13" s="28" t="n"/>
      <c r="C13" s="29" t="n"/>
      <c r="D13" s="27" t="n"/>
      <c r="E13" s="27" t="n"/>
      <c r="F13" s="30" t="n"/>
      <c r="G13" s="31" t="n"/>
      <c r="H13" s="30">
        <f>IF(OR(F13="",G13=""),"",F13*G13)</f>
        <v/>
      </c>
      <c r="I13" s="28" t="n"/>
      <c r="J13" s="29" t="n"/>
      <c r="K13" s="29">
        <f>IF(OR(C13="",J13=""),"",J13-C13)</f>
        <v/>
      </c>
      <c r="L13" s="31">
        <f>IF(OR(B13="",I13=""),"",I13-B13)</f>
        <v/>
      </c>
      <c r="M13" s="40">
        <f>IF(OR(H13="",K13="",K13=0),"",H13/K13)</f>
        <v/>
      </c>
      <c r="N13" s="27" t="n"/>
    </row>
    <row r="14" ht="22" customHeight="1">
      <c r="A14" s="22" t="n">
        <v>11</v>
      </c>
      <c r="B14" s="23" t="n"/>
      <c r="C14" s="24" t="n"/>
      <c r="D14" s="22" t="n"/>
      <c r="E14" s="22" t="n"/>
      <c r="F14" s="25" t="n"/>
      <c r="G14" s="26" t="n"/>
      <c r="H14" s="25">
        <f>IF(OR(F14="",G14=""),"",F14*G14)</f>
        <v/>
      </c>
      <c r="I14" s="23" t="n"/>
      <c r="J14" s="24" t="n"/>
      <c r="K14" s="24">
        <f>IF(OR(C14="",J14=""),"",J14-C14)</f>
        <v/>
      </c>
      <c r="L14" s="26">
        <f>IF(OR(B14="",I14=""),"",I14-B14)</f>
        <v/>
      </c>
      <c r="M14" s="39">
        <f>IF(OR(H14="",K14="",K14=0),"",H14/K14)</f>
        <v/>
      </c>
      <c r="N14" s="22" t="n"/>
    </row>
    <row r="15" ht="22" customHeight="1">
      <c r="A15" s="27" t="n">
        <v>12</v>
      </c>
      <c r="B15" s="28" t="n"/>
      <c r="C15" s="29" t="n"/>
      <c r="D15" s="27" t="n"/>
      <c r="E15" s="27" t="n"/>
      <c r="F15" s="30" t="n"/>
      <c r="G15" s="31" t="n"/>
      <c r="H15" s="30">
        <f>IF(OR(F15="",G15=""),"",F15*G15)</f>
        <v/>
      </c>
      <c r="I15" s="28" t="n"/>
      <c r="J15" s="29" t="n"/>
      <c r="K15" s="29">
        <f>IF(OR(C15="",J15=""),"",J15-C15)</f>
        <v/>
      </c>
      <c r="L15" s="31">
        <f>IF(OR(B15="",I15=""),"",I15-B15)</f>
        <v/>
      </c>
      <c r="M15" s="40">
        <f>IF(OR(H15="",K15="",K15=0),"",H15/K15)</f>
        <v/>
      </c>
      <c r="N15" s="27" t="n"/>
    </row>
    <row r="16" ht="22" customHeight="1">
      <c r="A16" s="22" t="n">
        <v>13</v>
      </c>
      <c r="B16" s="23" t="n"/>
      <c r="C16" s="24" t="n"/>
      <c r="D16" s="22" t="n"/>
      <c r="E16" s="22" t="n"/>
      <c r="F16" s="25" t="n"/>
      <c r="G16" s="26" t="n"/>
      <c r="H16" s="25">
        <f>IF(OR(F16="",G16=""),"",F16*G16)</f>
        <v/>
      </c>
      <c r="I16" s="23" t="n"/>
      <c r="J16" s="24" t="n"/>
      <c r="K16" s="24">
        <f>IF(OR(C16="",J16=""),"",J16-C16)</f>
        <v/>
      </c>
      <c r="L16" s="26">
        <f>IF(OR(B16="",I16=""),"",I16-B16)</f>
        <v/>
      </c>
      <c r="M16" s="39">
        <f>IF(OR(H16="",K16="",K16=0),"",H16/K16)</f>
        <v/>
      </c>
      <c r="N16" s="22" t="n"/>
    </row>
    <row r="17" ht="22" customHeight="1">
      <c r="A17" s="27" t="n">
        <v>14</v>
      </c>
      <c r="B17" s="28" t="n"/>
      <c r="C17" s="29" t="n"/>
      <c r="D17" s="27" t="n"/>
      <c r="E17" s="27" t="n"/>
      <c r="F17" s="30" t="n"/>
      <c r="G17" s="31" t="n"/>
      <c r="H17" s="30">
        <f>IF(OR(F17="",G17=""),"",F17*G17)</f>
        <v/>
      </c>
      <c r="I17" s="28" t="n"/>
      <c r="J17" s="29" t="n"/>
      <c r="K17" s="29">
        <f>IF(OR(C17="",J17=""),"",J17-C17)</f>
        <v/>
      </c>
      <c r="L17" s="31">
        <f>IF(OR(B17="",I17=""),"",I17-B17)</f>
        <v/>
      </c>
      <c r="M17" s="40">
        <f>IF(OR(H17="",K17="",K17=0),"",H17/K17)</f>
        <v/>
      </c>
      <c r="N17" s="27" t="n"/>
    </row>
    <row r="18" ht="22" customHeight="1">
      <c r="A18" s="22" t="n">
        <v>15</v>
      </c>
      <c r="B18" s="23" t="n"/>
      <c r="C18" s="24" t="n"/>
      <c r="D18" s="22" t="n"/>
      <c r="E18" s="22" t="n"/>
      <c r="F18" s="25" t="n"/>
      <c r="G18" s="26" t="n"/>
      <c r="H18" s="25">
        <f>IF(OR(F18="",G18=""),"",F18*G18)</f>
        <v/>
      </c>
      <c r="I18" s="23" t="n"/>
      <c r="J18" s="24" t="n"/>
      <c r="K18" s="24">
        <f>IF(OR(C18="",J18=""),"",J18-C18)</f>
        <v/>
      </c>
      <c r="L18" s="26">
        <f>IF(OR(B18="",I18=""),"",I18-B18)</f>
        <v/>
      </c>
      <c r="M18" s="39">
        <f>IF(OR(H18="",K18="",K18=0),"",H18/K18)</f>
        <v/>
      </c>
      <c r="N18" s="22" t="n"/>
    </row>
    <row r="19" ht="22" customHeight="1">
      <c r="A19" s="27" t="n">
        <v>16</v>
      </c>
      <c r="B19" s="28" t="n"/>
      <c r="C19" s="29" t="n"/>
      <c r="D19" s="27" t="n"/>
      <c r="E19" s="27" t="n"/>
      <c r="F19" s="30" t="n"/>
      <c r="G19" s="31" t="n"/>
      <c r="H19" s="30">
        <f>IF(OR(F19="",G19=""),"",F19*G19)</f>
        <v/>
      </c>
      <c r="I19" s="28" t="n"/>
      <c r="J19" s="29" t="n"/>
      <c r="K19" s="29">
        <f>IF(OR(C19="",J19=""),"",J19-C19)</f>
        <v/>
      </c>
      <c r="L19" s="31">
        <f>IF(OR(B19="",I19=""),"",I19-B19)</f>
        <v/>
      </c>
      <c r="M19" s="40">
        <f>IF(OR(H19="",K19="",K19=0),"",H19/K19)</f>
        <v/>
      </c>
      <c r="N19" s="27" t="n"/>
    </row>
    <row r="20" ht="22" customHeight="1">
      <c r="A20" s="22" t="n">
        <v>17</v>
      </c>
      <c r="B20" s="23" t="n"/>
      <c r="C20" s="24" t="n"/>
      <c r="D20" s="22" t="n"/>
      <c r="E20" s="22" t="n"/>
      <c r="F20" s="25" t="n"/>
      <c r="G20" s="26" t="n"/>
      <c r="H20" s="25">
        <f>IF(OR(F20="",G20=""),"",F20*G20)</f>
        <v/>
      </c>
      <c r="I20" s="23" t="n"/>
      <c r="J20" s="24" t="n"/>
      <c r="K20" s="24">
        <f>IF(OR(C20="",J20=""),"",J20-C20)</f>
        <v/>
      </c>
      <c r="L20" s="26">
        <f>IF(OR(B20="",I20=""),"",I20-B20)</f>
        <v/>
      </c>
      <c r="M20" s="39">
        <f>IF(OR(H20="",K20="",K20=0),"",H20/K20)</f>
        <v/>
      </c>
      <c r="N20" s="22" t="n"/>
    </row>
    <row r="21" ht="22" customHeight="1">
      <c r="A21" s="27" t="n">
        <v>18</v>
      </c>
      <c r="B21" s="28" t="n"/>
      <c r="C21" s="29" t="n"/>
      <c r="D21" s="27" t="n"/>
      <c r="E21" s="27" t="n"/>
      <c r="F21" s="30" t="n"/>
      <c r="G21" s="31" t="n"/>
      <c r="H21" s="30">
        <f>IF(OR(F21="",G21=""),"",F21*G21)</f>
        <v/>
      </c>
      <c r="I21" s="28" t="n"/>
      <c r="J21" s="29" t="n"/>
      <c r="K21" s="29">
        <f>IF(OR(C21="",J21=""),"",J21-C21)</f>
        <v/>
      </c>
      <c r="L21" s="31">
        <f>IF(OR(B21="",I21=""),"",I21-B21)</f>
        <v/>
      </c>
      <c r="M21" s="40">
        <f>IF(OR(H21="",K21="",K21=0),"",H21/K21)</f>
        <v/>
      </c>
      <c r="N21" s="27" t="n"/>
    </row>
    <row r="22" ht="22" customHeight="1">
      <c r="A22" s="22" t="n">
        <v>19</v>
      </c>
      <c r="B22" s="23" t="n"/>
      <c r="C22" s="24" t="n"/>
      <c r="D22" s="22" t="n"/>
      <c r="E22" s="22" t="n"/>
      <c r="F22" s="25" t="n"/>
      <c r="G22" s="26" t="n"/>
      <c r="H22" s="25">
        <f>IF(OR(F22="",G22=""),"",F22*G22)</f>
        <v/>
      </c>
      <c r="I22" s="23" t="n"/>
      <c r="J22" s="24" t="n"/>
      <c r="K22" s="24">
        <f>IF(OR(C22="",J22=""),"",J22-C22)</f>
        <v/>
      </c>
      <c r="L22" s="26">
        <f>IF(OR(B22="",I22=""),"",I22-B22)</f>
        <v/>
      </c>
      <c r="M22" s="39">
        <f>IF(OR(H22="",K22="",K22=0),"",H22/K22)</f>
        <v/>
      </c>
      <c r="N22" s="22" t="n"/>
    </row>
    <row r="23" ht="22" customHeight="1">
      <c r="A23" s="27" t="n">
        <v>20</v>
      </c>
      <c r="B23" s="28" t="n"/>
      <c r="C23" s="29" t="n"/>
      <c r="D23" s="27" t="n"/>
      <c r="E23" s="27" t="n"/>
      <c r="F23" s="30" t="n"/>
      <c r="G23" s="31" t="n"/>
      <c r="H23" s="30">
        <f>IF(OR(F23="",G23=""),"",F23*G23)</f>
        <v/>
      </c>
      <c r="I23" s="28" t="n"/>
      <c r="J23" s="29" t="n"/>
      <c r="K23" s="29">
        <f>IF(OR(C23="",J23=""),"",J23-C23)</f>
        <v/>
      </c>
      <c r="L23" s="31">
        <f>IF(OR(B23="",I23=""),"",I23-B23)</f>
        <v/>
      </c>
      <c r="M23" s="40">
        <f>IF(OR(H23="",K23="",K23=0),"",H23/K23)</f>
        <v/>
      </c>
      <c r="N23" s="27" t="n"/>
    </row>
    <row r="24" ht="22" customHeight="1">
      <c r="A24" s="22" t="n">
        <v>21</v>
      </c>
      <c r="B24" s="23" t="n"/>
      <c r="C24" s="24" t="n"/>
      <c r="D24" s="22" t="n"/>
      <c r="E24" s="22" t="n"/>
      <c r="F24" s="25" t="n"/>
      <c r="G24" s="26" t="n"/>
      <c r="H24" s="25">
        <f>IF(OR(F24="",G24=""),"",F24*G24)</f>
        <v/>
      </c>
      <c r="I24" s="23" t="n"/>
      <c r="J24" s="24" t="n"/>
      <c r="K24" s="24">
        <f>IF(OR(C24="",J24=""),"",J24-C24)</f>
        <v/>
      </c>
      <c r="L24" s="26">
        <f>IF(OR(B24="",I24=""),"",I24-B24)</f>
        <v/>
      </c>
      <c r="M24" s="39">
        <f>IF(OR(H24="",K24="",K24=0),"",H24/K24)</f>
        <v/>
      </c>
      <c r="N24" s="22" t="n"/>
    </row>
    <row r="25" ht="22" customHeight="1">
      <c r="A25" s="27" t="n">
        <v>22</v>
      </c>
      <c r="B25" s="28" t="n"/>
      <c r="C25" s="29" t="n"/>
      <c r="D25" s="27" t="n"/>
      <c r="E25" s="27" t="n"/>
      <c r="F25" s="30" t="n"/>
      <c r="G25" s="31" t="n"/>
      <c r="H25" s="30">
        <f>IF(OR(F25="",G25=""),"",F25*G25)</f>
        <v/>
      </c>
      <c r="I25" s="28" t="n"/>
      <c r="J25" s="29" t="n"/>
      <c r="K25" s="29">
        <f>IF(OR(C25="",J25=""),"",J25-C25)</f>
        <v/>
      </c>
      <c r="L25" s="31">
        <f>IF(OR(B25="",I25=""),"",I25-B25)</f>
        <v/>
      </c>
      <c r="M25" s="40">
        <f>IF(OR(H25="",K25="",K25=0),"",H25/K25)</f>
        <v/>
      </c>
      <c r="N25" s="27" t="n"/>
    </row>
    <row r="26" ht="22" customHeight="1">
      <c r="A26" s="22" t="n">
        <v>23</v>
      </c>
      <c r="B26" s="23" t="n"/>
      <c r="C26" s="24" t="n"/>
      <c r="D26" s="22" t="n"/>
      <c r="E26" s="22" t="n"/>
      <c r="F26" s="25" t="n"/>
      <c r="G26" s="26" t="n"/>
      <c r="H26" s="25">
        <f>IF(OR(F26="",G26=""),"",F26*G26)</f>
        <v/>
      </c>
      <c r="I26" s="23" t="n"/>
      <c r="J26" s="24" t="n"/>
      <c r="K26" s="24">
        <f>IF(OR(C26="",J26=""),"",J26-C26)</f>
        <v/>
      </c>
      <c r="L26" s="26">
        <f>IF(OR(B26="",I26=""),"",I26-B26)</f>
        <v/>
      </c>
      <c r="M26" s="39">
        <f>IF(OR(H26="",K26="",K26=0),"",H26/K26)</f>
        <v/>
      </c>
      <c r="N26" s="22" t="n"/>
    </row>
    <row r="27" ht="22" customHeight="1">
      <c r="A27" s="27" t="n">
        <v>24</v>
      </c>
      <c r="B27" s="28" t="n"/>
      <c r="C27" s="29" t="n"/>
      <c r="D27" s="27" t="n"/>
      <c r="E27" s="27" t="n"/>
      <c r="F27" s="30" t="n"/>
      <c r="G27" s="31" t="n"/>
      <c r="H27" s="30">
        <f>IF(OR(F27="",G27=""),"",F27*G27)</f>
        <v/>
      </c>
      <c r="I27" s="28" t="n"/>
      <c r="J27" s="29" t="n"/>
      <c r="K27" s="29">
        <f>IF(OR(C27="",J27=""),"",J27-C27)</f>
        <v/>
      </c>
      <c r="L27" s="31">
        <f>IF(OR(B27="",I27=""),"",I27-B27)</f>
        <v/>
      </c>
      <c r="M27" s="40">
        <f>IF(OR(H27="",K27="",K27=0),"",H27/K27)</f>
        <v/>
      </c>
      <c r="N27" s="27" t="n"/>
    </row>
    <row r="28" ht="22" customHeight="1">
      <c r="A28" s="22" t="n">
        <v>25</v>
      </c>
      <c r="B28" s="23" t="n"/>
      <c r="C28" s="24" t="n"/>
      <c r="D28" s="22" t="n"/>
      <c r="E28" s="22" t="n"/>
      <c r="F28" s="25" t="n"/>
      <c r="G28" s="26" t="n"/>
      <c r="H28" s="25">
        <f>IF(OR(F28="",G28=""),"",F28*G28)</f>
        <v/>
      </c>
      <c r="I28" s="23" t="n"/>
      <c r="J28" s="24" t="n"/>
      <c r="K28" s="24">
        <f>IF(OR(C28="",J28=""),"",J28-C28)</f>
        <v/>
      </c>
      <c r="L28" s="26">
        <f>IF(OR(B28="",I28=""),"",I28-B28)</f>
        <v/>
      </c>
      <c r="M28" s="39">
        <f>IF(OR(H28="",K28="",K28=0),"",H28/K28)</f>
        <v/>
      </c>
      <c r="N28" s="22" t="n"/>
    </row>
    <row r="29" ht="22" customHeight="1">
      <c r="A29" s="27" t="n">
        <v>26</v>
      </c>
      <c r="B29" s="28" t="n"/>
      <c r="C29" s="29" t="n"/>
      <c r="D29" s="27" t="n"/>
      <c r="E29" s="27" t="n"/>
      <c r="F29" s="30" t="n"/>
      <c r="G29" s="31" t="n"/>
      <c r="H29" s="30">
        <f>IF(OR(F29="",G29=""),"",F29*G29)</f>
        <v/>
      </c>
      <c r="I29" s="28" t="n"/>
      <c r="J29" s="29" t="n"/>
      <c r="K29" s="29">
        <f>IF(OR(C29="",J29=""),"",J29-C29)</f>
        <v/>
      </c>
      <c r="L29" s="31">
        <f>IF(OR(B29="",I29=""),"",I29-B29)</f>
        <v/>
      </c>
      <c r="M29" s="40">
        <f>IF(OR(H29="",K29="",K29=0),"",H29/K29)</f>
        <v/>
      </c>
      <c r="N29" s="27" t="n"/>
    </row>
    <row r="30" ht="22" customHeight="1">
      <c r="A30" s="22" t="n">
        <v>27</v>
      </c>
      <c r="B30" s="23" t="n"/>
      <c r="C30" s="24" t="n"/>
      <c r="D30" s="22" t="n"/>
      <c r="E30" s="22" t="n"/>
      <c r="F30" s="25" t="n"/>
      <c r="G30" s="26" t="n"/>
      <c r="H30" s="25">
        <f>IF(OR(F30="",G30=""),"",F30*G30)</f>
        <v/>
      </c>
      <c r="I30" s="23" t="n"/>
      <c r="J30" s="24" t="n"/>
      <c r="K30" s="24">
        <f>IF(OR(C30="",J30=""),"",J30-C30)</f>
        <v/>
      </c>
      <c r="L30" s="26">
        <f>IF(OR(B30="",I30=""),"",I30-B30)</f>
        <v/>
      </c>
      <c r="M30" s="39">
        <f>IF(OR(H30="",K30="",K30=0),"",H30/K30)</f>
        <v/>
      </c>
      <c r="N30" s="22" t="n"/>
    </row>
    <row r="31" ht="22" customHeight="1">
      <c r="A31" s="27" t="n">
        <v>28</v>
      </c>
      <c r="B31" s="28" t="n"/>
      <c r="C31" s="29" t="n"/>
      <c r="D31" s="27" t="n"/>
      <c r="E31" s="27" t="n"/>
      <c r="F31" s="30" t="n"/>
      <c r="G31" s="31" t="n"/>
      <c r="H31" s="30">
        <f>IF(OR(F31="",G31=""),"",F31*G31)</f>
        <v/>
      </c>
      <c r="I31" s="28" t="n"/>
      <c r="J31" s="29" t="n"/>
      <c r="K31" s="29">
        <f>IF(OR(C31="",J31=""),"",J31-C31)</f>
        <v/>
      </c>
      <c r="L31" s="31">
        <f>IF(OR(B31="",I31=""),"",I31-B31)</f>
        <v/>
      </c>
      <c r="M31" s="40">
        <f>IF(OR(H31="",K31="",K31=0),"",H31/K31)</f>
        <v/>
      </c>
      <c r="N31" s="27" t="n"/>
    </row>
    <row r="32" ht="22" customHeight="1">
      <c r="A32" s="22" t="n">
        <v>29</v>
      </c>
      <c r="B32" s="23" t="n"/>
      <c r="C32" s="24" t="n"/>
      <c r="D32" s="22" t="n"/>
      <c r="E32" s="22" t="n"/>
      <c r="F32" s="25" t="n"/>
      <c r="G32" s="26" t="n"/>
      <c r="H32" s="25">
        <f>IF(OR(F32="",G32=""),"",F32*G32)</f>
        <v/>
      </c>
      <c r="I32" s="23" t="n"/>
      <c r="J32" s="24" t="n"/>
      <c r="K32" s="24">
        <f>IF(OR(C32="",J32=""),"",J32-C32)</f>
        <v/>
      </c>
      <c r="L32" s="26">
        <f>IF(OR(B32="",I32=""),"",I32-B32)</f>
        <v/>
      </c>
      <c r="M32" s="39">
        <f>IF(OR(H32="",K32="",K32=0),"",H32/K32)</f>
        <v/>
      </c>
      <c r="N32" s="22" t="n"/>
    </row>
    <row r="33" ht="22" customHeight="1">
      <c r="A33" s="27" t="n">
        <v>30</v>
      </c>
      <c r="B33" s="28" t="n"/>
      <c r="C33" s="29" t="n"/>
      <c r="D33" s="27" t="n"/>
      <c r="E33" s="27" t="n"/>
      <c r="F33" s="30" t="n"/>
      <c r="G33" s="31" t="n"/>
      <c r="H33" s="30">
        <f>IF(OR(F33="",G33=""),"",F33*G33)</f>
        <v/>
      </c>
      <c r="I33" s="28" t="n"/>
      <c r="J33" s="29" t="n"/>
      <c r="K33" s="29">
        <f>IF(OR(C33="",J33=""),"",J33-C33)</f>
        <v/>
      </c>
      <c r="L33" s="31">
        <f>IF(OR(B33="",I33=""),"",I33-B33)</f>
        <v/>
      </c>
      <c r="M33" s="40">
        <f>IF(OR(H33="",K33="",K33=0),"",H33/K33)</f>
        <v/>
      </c>
      <c r="N33" s="27" t="n"/>
    </row>
    <row r="34" ht="22" customHeight="1">
      <c r="A34" s="22" t="n">
        <v>31</v>
      </c>
      <c r="B34" s="23" t="n"/>
      <c r="C34" s="24" t="n"/>
      <c r="D34" s="22" t="n"/>
      <c r="E34" s="22" t="n"/>
      <c r="F34" s="25" t="n"/>
      <c r="G34" s="26" t="n"/>
      <c r="H34" s="25">
        <f>IF(OR(F34="",G34=""),"",F34*G34)</f>
        <v/>
      </c>
      <c r="I34" s="23" t="n"/>
      <c r="J34" s="24" t="n"/>
      <c r="K34" s="24">
        <f>IF(OR(C34="",J34=""),"",J34-C34)</f>
        <v/>
      </c>
      <c r="L34" s="26">
        <f>IF(OR(B34="",I34=""),"",I34-B34)</f>
        <v/>
      </c>
      <c r="M34" s="39">
        <f>IF(OR(H34="",K34="",K34=0),"",H34/K34)</f>
        <v/>
      </c>
      <c r="N34" s="22" t="n"/>
    </row>
    <row r="35" ht="22" customHeight="1">
      <c r="A35" s="27" t="n">
        <v>32</v>
      </c>
      <c r="B35" s="28" t="n"/>
      <c r="C35" s="29" t="n"/>
      <c r="D35" s="27" t="n"/>
      <c r="E35" s="27" t="n"/>
      <c r="F35" s="30" t="n"/>
      <c r="G35" s="31" t="n"/>
      <c r="H35" s="30">
        <f>IF(OR(F35="",G35=""),"",F35*G35)</f>
        <v/>
      </c>
      <c r="I35" s="28" t="n"/>
      <c r="J35" s="29" t="n"/>
      <c r="K35" s="29">
        <f>IF(OR(C35="",J35=""),"",J35-C35)</f>
        <v/>
      </c>
      <c r="L35" s="31">
        <f>IF(OR(B35="",I35=""),"",I35-B35)</f>
        <v/>
      </c>
      <c r="M35" s="40">
        <f>IF(OR(H35="",K35="",K35=0),"",H35/K35)</f>
        <v/>
      </c>
      <c r="N35" s="27" t="n"/>
    </row>
    <row r="36" ht="22" customHeight="1">
      <c r="A36" s="22" t="n">
        <v>33</v>
      </c>
      <c r="B36" s="23" t="n"/>
      <c r="C36" s="24" t="n"/>
      <c r="D36" s="22" t="n"/>
      <c r="E36" s="22" t="n"/>
      <c r="F36" s="25" t="n"/>
      <c r="G36" s="26" t="n"/>
      <c r="H36" s="25">
        <f>IF(OR(F36="",G36=""),"",F36*G36)</f>
        <v/>
      </c>
      <c r="I36" s="23" t="n"/>
      <c r="J36" s="24" t="n"/>
      <c r="K36" s="24">
        <f>IF(OR(C36="",J36=""),"",J36-C36)</f>
        <v/>
      </c>
      <c r="L36" s="26">
        <f>IF(OR(B36="",I36=""),"",I36-B36)</f>
        <v/>
      </c>
      <c r="M36" s="39">
        <f>IF(OR(H36="",K36="",K36=0),"",H36/K36)</f>
        <v/>
      </c>
      <c r="N36" s="22" t="n"/>
    </row>
    <row r="37" ht="22" customHeight="1">
      <c r="A37" s="27" t="n">
        <v>34</v>
      </c>
      <c r="B37" s="28" t="n"/>
      <c r="C37" s="29" t="n"/>
      <c r="D37" s="27" t="n"/>
      <c r="E37" s="27" t="n"/>
      <c r="F37" s="30" t="n"/>
      <c r="G37" s="31" t="n"/>
      <c r="H37" s="30">
        <f>IF(OR(F37="",G37=""),"",F37*G37)</f>
        <v/>
      </c>
      <c r="I37" s="28" t="n"/>
      <c r="J37" s="29" t="n"/>
      <c r="K37" s="29">
        <f>IF(OR(C37="",J37=""),"",J37-C37)</f>
        <v/>
      </c>
      <c r="L37" s="31">
        <f>IF(OR(B37="",I37=""),"",I37-B37)</f>
        <v/>
      </c>
      <c r="M37" s="40">
        <f>IF(OR(H37="",K37="",K37=0),"",H37/K37)</f>
        <v/>
      </c>
      <c r="N37" s="27" t="n"/>
    </row>
    <row r="38" ht="22" customHeight="1">
      <c r="A38" s="22" t="n">
        <v>35</v>
      </c>
      <c r="B38" s="23" t="n"/>
      <c r="C38" s="24" t="n"/>
      <c r="D38" s="22" t="n"/>
      <c r="E38" s="22" t="n"/>
      <c r="F38" s="25" t="n"/>
      <c r="G38" s="26" t="n"/>
      <c r="H38" s="25">
        <f>IF(OR(F38="",G38=""),"",F38*G38)</f>
        <v/>
      </c>
      <c r="I38" s="23" t="n"/>
      <c r="J38" s="24" t="n"/>
      <c r="K38" s="24">
        <f>IF(OR(C38="",J38=""),"",J38-C38)</f>
        <v/>
      </c>
      <c r="L38" s="26">
        <f>IF(OR(B38="",I38=""),"",I38-B38)</f>
        <v/>
      </c>
      <c r="M38" s="39">
        <f>IF(OR(H38="",K38="",K38=0),"",H38/K38)</f>
        <v/>
      </c>
      <c r="N38" s="22" t="n"/>
    </row>
    <row r="39" ht="22" customHeight="1">
      <c r="A39" s="27" t="n">
        <v>36</v>
      </c>
      <c r="B39" s="28" t="n"/>
      <c r="C39" s="29" t="n"/>
      <c r="D39" s="27" t="n"/>
      <c r="E39" s="27" t="n"/>
      <c r="F39" s="30" t="n"/>
      <c r="G39" s="31" t="n"/>
      <c r="H39" s="30">
        <f>IF(OR(F39="",G39=""),"",F39*G39)</f>
        <v/>
      </c>
      <c r="I39" s="28" t="n"/>
      <c r="J39" s="29" t="n"/>
      <c r="K39" s="29">
        <f>IF(OR(C39="",J39=""),"",J39-C39)</f>
        <v/>
      </c>
      <c r="L39" s="31">
        <f>IF(OR(B39="",I39=""),"",I39-B39)</f>
        <v/>
      </c>
      <c r="M39" s="40">
        <f>IF(OR(H39="",K39="",K39=0),"",H39/K39)</f>
        <v/>
      </c>
      <c r="N39" s="27" t="n"/>
    </row>
    <row r="40" ht="22" customHeight="1">
      <c r="A40" s="22" t="n">
        <v>37</v>
      </c>
      <c r="B40" s="23" t="n"/>
      <c r="C40" s="24" t="n"/>
      <c r="D40" s="22" t="n"/>
      <c r="E40" s="22" t="n"/>
      <c r="F40" s="25" t="n"/>
      <c r="G40" s="26" t="n"/>
      <c r="H40" s="25">
        <f>IF(OR(F40="",G40=""),"",F40*G40)</f>
        <v/>
      </c>
      <c r="I40" s="23" t="n"/>
      <c r="J40" s="24" t="n"/>
      <c r="K40" s="24">
        <f>IF(OR(C40="",J40=""),"",J40-C40)</f>
        <v/>
      </c>
      <c r="L40" s="26">
        <f>IF(OR(B40="",I40=""),"",I40-B40)</f>
        <v/>
      </c>
      <c r="M40" s="39">
        <f>IF(OR(H40="",K40="",K40=0),"",H40/K40)</f>
        <v/>
      </c>
      <c r="N40" s="22" t="n"/>
    </row>
    <row r="41" ht="22" customHeight="1">
      <c r="A41" s="27" t="n">
        <v>38</v>
      </c>
      <c r="B41" s="28" t="n"/>
      <c r="C41" s="29" t="n"/>
      <c r="D41" s="27" t="n"/>
      <c r="E41" s="27" t="n"/>
      <c r="F41" s="30" t="n"/>
      <c r="G41" s="31" t="n"/>
      <c r="H41" s="30">
        <f>IF(OR(F41="",G41=""),"",F41*G41)</f>
        <v/>
      </c>
      <c r="I41" s="28" t="n"/>
      <c r="J41" s="29" t="n"/>
      <c r="K41" s="29">
        <f>IF(OR(C41="",J41=""),"",J41-C41)</f>
        <v/>
      </c>
      <c r="L41" s="31">
        <f>IF(OR(B41="",I41=""),"",I41-B41)</f>
        <v/>
      </c>
      <c r="M41" s="40">
        <f>IF(OR(H41="",K41="",K41=0),"",H41/K41)</f>
        <v/>
      </c>
      <c r="N41" s="27" t="n"/>
    </row>
    <row r="42" ht="22" customHeight="1">
      <c r="A42" s="22" t="n">
        <v>39</v>
      </c>
      <c r="B42" s="23" t="n"/>
      <c r="C42" s="24" t="n"/>
      <c r="D42" s="22" t="n"/>
      <c r="E42" s="22" t="n"/>
      <c r="F42" s="25" t="n"/>
      <c r="G42" s="26" t="n"/>
      <c r="H42" s="25">
        <f>IF(OR(F42="",G42=""),"",F42*G42)</f>
        <v/>
      </c>
      <c r="I42" s="23" t="n"/>
      <c r="J42" s="24" t="n"/>
      <c r="K42" s="24">
        <f>IF(OR(C42="",J42=""),"",J42-C42)</f>
        <v/>
      </c>
      <c r="L42" s="26">
        <f>IF(OR(B42="",I42=""),"",I42-B42)</f>
        <v/>
      </c>
      <c r="M42" s="39">
        <f>IF(OR(H42="",K42="",K42=0),"",H42/K42)</f>
        <v/>
      </c>
      <c r="N42" s="22" t="n"/>
    </row>
    <row r="43" ht="22" customHeight="1">
      <c r="A43" s="27" t="n">
        <v>40</v>
      </c>
      <c r="B43" s="28" t="n"/>
      <c r="C43" s="29" t="n"/>
      <c r="D43" s="27" t="n"/>
      <c r="E43" s="27" t="n"/>
      <c r="F43" s="30" t="n"/>
      <c r="G43" s="31" t="n"/>
      <c r="H43" s="30">
        <f>IF(OR(F43="",G43=""),"",F43*G43)</f>
        <v/>
      </c>
      <c r="I43" s="28" t="n"/>
      <c r="J43" s="29" t="n"/>
      <c r="K43" s="29">
        <f>IF(OR(C43="",J43=""),"",J43-C43)</f>
        <v/>
      </c>
      <c r="L43" s="31">
        <f>IF(OR(B43="",I43=""),"",I43-B43)</f>
        <v/>
      </c>
      <c r="M43" s="40">
        <f>IF(OR(H43="",K43="",K43=0),"",H43/K43)</f>
        <v/>
      </c>
      <c r="N43" s="27" t="n"/>
    </row>
    <row r="44" ht="22" customHeight="1">
      <c r="A44" s="22" t="n">
        <v>41</v>
      </c>
      <c r="B44" s="23" t="n"/>
      <c r="C44" s="24" t="n"/>
      <c r="D44" s="22" t="n"/>
      <c r="E44" s="22" t="n"/>
      <c r="F44" s="25" t="n"/>
      <c r="G44" s="26" t="n"/>
      <c r="H44" s="25">
        <f>IF(OR(F44="",G44=""),"",F44*G44)</f>
        <v/>
      </c>
      <c r="I44" s="23" t="n"/>
      <c r="J44" s="24" t="n"/>
      <c r="K44" s="24">
        <f>IF(OR(C44="",J44=""),"",J44-C44)</f>
        <v/>
      </c>
      <c r="L44" s="26">
        <f>IF(OR(B44="",I44=""),"",I44-B44)</f>
        <v/>
      </c>
      <c r="M44" s="39">
        <f>IF(OR(H44="",K44="",K44=0),"",H44/K44)</f>
        <v/>
      </c>
      <c r="N44" s="22" t="n"/>
    </row>
    <row r="45" ht="22" customHeight="1">
      <c r="A45" s="27" t="n">
        <v>42</v>
      </c>
      <c r="B45" s="28" t="n"/>
      <c r="C45" s="29" t="n"/>
      <c r="D45" s="27" t="n"/>
      <c r="E45" s="27" t="n"/>
      <c r="F45" s="30" t="n"/>
      <c r="G45" s="31" t="n"/>
      <c r="H45" s="30">
        <f>IF(OR(F45="",G45=""),"",F45*G45)</f>
        <v/>
      </c>
      <c r="I45" s="28" t="n"/>
      <c r="J45" s="29" t="n"/>
      <c r="K45" s="29">
        <f>IF(OR(C45="",J45=""),"",J45-C45)</f>
        <v/>
      </c>
      <c r="L45" s="31">
        <f>IF(OR(B45="",I45=""),"",I45-B45)</f>
        <v/>
      </c>
      <c r="M45" s="40">
        <f>IF(OR(H45="",K45="",K45=0),"",H45/K45)</f>
        <v/>
      </c>
      <c r="N45" s="27" t="n"/>
    </row>
    <row r="46" ht="22" customHeight="1">
      <c r="A46" s="22" t="n">
        <v>43</v>
      </c>
      <c r="B46" s="23" t="n"/>
      <c r="C46" s="24" t="n"/>
      <c r="D46" s="22" t="n"/>
      <c r="E46" s="22" t="n"/>
      <c r="F46" s="25" t="n"/>
      <c r="G46" s="26" t="n"/>
      <c r="H46" s="25">
        <f>IF(OR(F46="",G46=""),"",F46*G46)</f>
        <v/>
      </c>
      <c r="I46" s="23" t="n"/>
      <c r="J46" s="24" t="n"/>
      <c r="K46" s="24">
        <f>IF(OR(C46="",J46=""),"",J46-C46)</f>
        <v/>
      </c>
      <c r="L46" s="26">
        <f>IF(OR(B46="",I46=""),"",I46-B46)</f>
        <v/>
      </c>
      <c r="M46" s="39">
        <f>IF(OR(H46="",K46="",K46=0),"",H46/K46)</f>
        <v/>
      </c>
      <c r="N46" s="22" t="n"/>
    </row>
    <row r="47" ht="22" customHeight="1">
      <c r="A47" s="27" t="n">
        <v>44</v>
      </c>
      <c r="B47" s="28" t="n"/>
      <c r="C47" s="29" t="n"/>
      <c r="D47" s="27" t="n"/>
      <c r="E47" s="27" t="n"/>
      <c r="F47" s="30" t="n"/>
      <c r="G47" s="31" t="n"/>
      <c r="H47" s="30">
        <f>IF(OR(F47="",G47=""),"",F47*G47)</f>
        <v/>
      </c>
      <c r="I47" s="28" t="n"/>
      <c r="J47" s="29" t="n"/>
      <c r="K47" s="29">
        <f>IF(OR(C47="",J47=""),"",J47-C47)</f>
        <v/>
      </c>
      <c r="L47" s="31">
        <f>IF(OR(B47="",I47=""),"",I47-B47)</f>
        <v/>
      </c>
      <c r="M47" s="40">
        <f>IF(OR(H47="",K47="",K47=0),"",H47/K47)</f>
        <v/>
      </c>
      <c r="N47" s="27" t="n"/>
    </row>
    <row r="48" ht="22" customHeight="1">
      <c r="A48" s="22" t="n">
        <v>45</v>
      </c>
      <c r="B48" s="23" t="n"/>
      <c r="C48" s="24" t="n"/>
      <c r="D48" s="22" t="n"/>
      <c r="E48" s="22" t="n"/>
      <c r="F48" s="25" t="n"/>
      <c r="G48" s="26" t="n"/>
      <c r="H48" s="25">
        <f>IF(OR(F48="",G48=""),"",F48*G48)</f>
        <v/>
      </c>
      <c r="I48" s="23" t="n"/>
      <c r="J48" s="24" t="n"/>
      <c r="K48" s="24">
        <f>IF(OR(C48="",J48=""),"",J48-C48)</f>
        <v/>
      </c>
      <c r="L48" s="26">
        <f>IF(OR(B48="",I48=""),"",I48-B48)</f>
        <v/>
      </c>
      <c r="M48" s="39">
        <f>IF(OR(H48="",K48="",K48=0),"",H48/K48)</f>
        <v/>
      </c>
      <c r="N48" s="22" t="n"/>
    </row>
    <row r="49" ht="22" customHeight="1">
      <c r="A49" s="27" t="n">
        <v>46</v>
      </c>
      <c r="B49" s="28" t="n"/>
      <c r="C49" s="29" t="n"/>
      <c r="D49" s="27" t="n"/>
      <c r="E49" s="27" t="n"/>
      <c r="F49" s="30" t="n"/>
      <c r="G49" s="31" t="n"/>
      <c r="H49" s="30">
        <f>IF(OR(F49="",G49=""),"",F49*G49)</f>
        <v/>
      </c>
      <c r="I49" s="28" t="n"/>
      <c r="J49" s="29" t="n"/>
      <c r="K49" s="29">
        <f>IF(OR(C49="",J49=""),"",J49-C49)</f>
        <v/>
      </c>
      <c r="L49" s="31">
        <f>IF(OR(B49="",I49=""),"",I49-B49)</f>
        <v/>
      </c>
      <c r="M49" s="40">
        <f>IF(OR(H49="",K49="",K49=0),"",H49/K49)</f>
        <v/>
      </c>
      <c r="N49" s="27" t="n"/>
    </row>
    <row r="50" ht="22" customHeight="1">
      <c r="A50" s="22" t="n">
        <v>47</v>
      </c>
      <c r="B50" s="23" t="n"/>
      <c r="C50" s="24" t="n"/>
      <c r="D50" s="22" t="n"/>
      <c r="E50" s="22" t="n"/>
      <c r="F50" s="25" t="n"/>
      <c r="G50" s="26" t="n"/>
      <c r="H50" s="25">
        <f>IF(OR(F50="",G50=""),"",F50*G50)</f>
        <v/>
      </c>
      <c r="I50" s="23" t="n"/>
      <c r="J50" s="24" t="n"/>
      <c r="K50" s="24">
        <f>IF(OR(C50="",J50=""),"",J50-C50)</f>
        <v/>
      </c>
      <c r="L50" s="26">
        <f>IF(OR(B50="",I50=""),"",I50-B50)</f>
        <v/>
      </c>
      <c r="M50" s="39">
        <f>IF(OR(H50="",K50="",K50=0),"",H50/K50)</f>
        <v/>
      </c>
      <c r="N50" s="22" t="n"/>
    </row>
    <row r="51" ht="22" customHeight="1">
      <c r="A51" s="27" t="n">
        <v>48</v>
      </c>
      <c r="B51" s="28" t="n"/>
      <c r="C51" s="29" t="n"/>
      <c r="D51" s="27" t="n"/>
      <c r="E51" s="27" t="n"/>
      <c r="F51" s="30" t="n"/>
      <c r="G51" s="31" t="n"/>
      <c r="H51" s="30">
        <f>IF(OR(F51="",G51=""),"",F51*G51)</f>
        <v/>
      </c>
      <c r="I51" s="28" t="n"/>
      <c r="J51" s="29" t="n"/>
      <c r="K51" s="29">
        <f>IF(OR(C51="",J51=""),"",J51-C51)</f>
        <v/>
      </c>
      <c r="L51" s="31">
        <f>IF(OR(B51="",I51=""),"",I51-B51)</f>
        <v/>
      </c>
      <c r="M51" s="40">
        <f>IF(OR(H51="",K51="",K51=0),"",H51/K51)</f>
        <v/>
      </c>
      <c r="N51" s="27" t="n"/>
    </row>
    <row r="52" ht="22" customHeight="1">
      <c r="A52" s="22" t="n">
        <v>49</v>
      </c>
      <c r="B52" s="23" t="n"/>
      <c r="C52" s="24" t="n"/>
      <c r="D52" s="22" t="n"/>
      <c r="E52" s="22" t="n"/>
      <c r="F52" s="25" t="n"/>
      <c r="G52" s="26" t="n"/>
      <c r="H52" s="25">
        <f>IF(OR(F52="",G52=""),"",F52*G52)</f>
        <v/>
      </c>
      <c r="I52" s="23" t="n"/>
      <c r="J52" s="24" t="n"/>
      <c r="K52" s="24">
        <f>IF(OR(C52="",J52=""),"",J52-C52)</f>
        <v/>
      </c>
      <c r="L52" s="26">
        <f>IF(OR(B52="",I52=""),"",I52-B52)</f>
        <v/>
      </c>
      <c r="M52" s="39">
        <f>IF(OR(H52="",K52="",K52=0),"",H52/K52)</f>
        <v/>
      </c>
      <c r="N52" s="22" t="n"/>
    </row>
    <row r="53" ht="22" customHeight="1">
      <c r="A53" s="27" t="n">
        <v>50</v>
      </c>
      <c r="B53" s="28" t="n"/>
      <c r="C53" s="29" t="n"/>
      <c r="D53" s="27" t="n"/>
      <c r="E53" s="27" t="n"/>
      <c r="F53" s="30" t="n"/>
      <c r="G53" s="31" t="n"/>
      <c r="H53" s="30">
        <f>IF(OR(F53="",G53=""),"",F53*G53)</f>
        <v/>
      </c>
      <c r="I53" s="28" t="n"/>
      <c r="J53" s="29" t="n"/>
      <c r="K53" s="29">
        <f>IF(OR(C53="",J53=""),"",J53-C53)</f>
        <v/>
      </c>
      <c r="L53" s="31">
        <f>IF(OR(B53="",I53=""),"",I53-B53)</f>
        <v/>
      </c>
      <c r="M53" s="40">
        <f>IF(OR(H53="",K53="",K53=0),"",H53/K53)</f>
        <v/>
      </c>
      <c r="N53" s="27" t="n"/>
    </row>
    <row r="54" ht="22" customHeight="1">
      <c r="A54" s="22" t="n">
        <v>51</v>
      </c>
      <c r="B54" s="23" t="n"/>
      <c r="C54" s="24" t="n"/>
      <c r="D54" s="22" t="n"/>
      <c r="E54" s="22" t="n"/>
      <c r="F54" s="25" t="n"/>
      <c r="G54" s="26" t="n"/>
      <c r="H54" s="25">
        <f>IF(OR(F54="",G54=""),"",F54*G54)</f>
        <v/>
      </c>
      <c r="I54" s="23" t="n"/>
      <c r="J54" s="24" t="n"/>
      <c r="K54" s="24">
        <f>IF(OR(C54="",J54=""),"",J54-C54)</f>
        <v/>
      </c>
      <c r="L54" s="26">
        <f>IF(OR(B54="",I54=""),"",I54-B54)</f>
        <v/>
      </c>
      <c r="M54" s="39">
        <f>IF(OR(H54="",K54="",K54=0),"",H54/K54)</f>
        <v/>
      </c>
      <c r="N54" s="22" t="n"/>
    </row>
    <row r="55" ht="22" customHeight="1">
      <c r="A55" s="27" t="n">
        <v>52</v>
      </c>
      <c r="B55" s="28" t="n"/>
      <c r="C55" s="29" t="n"/>
      <c r="D55" s="27" t="n"/>
      <c r="E55" s="27" t="n"/>
      <c r="F55" s="30" t="n"/>
      <c r="G55" s="31" t="n"/>
      <c r="H55" s="30">
        <f>IF(OR(F55="",G55=""),"",F55*G55)</f>
        <v/>
      </c>
      <c r="I55" s="28" t="n"/>
      <c r="J55" s="29" t="n"/>
      <c r="K55" s="29">
        <f>IF(OR(C55="",J55=""),"",J55-C55)</f>
        <v/>
      </c>
      <c r="L55" s="31">
        <f>IF(OR(B55="",I55=""),"",I55-B55)</f>
        <v/>
      </c>
      <c r="M55" s="40">
        <f>IF(OR(H55="",K55="",K55=0),"",H55/K55)</f>
        <v/>
      </c>
      <c r="N55" s="27" t="n"/>
    </row>
    <row r="56" ht="22" customHeight="1">
      <c r="A56" s="22" t="n">
        <v>53</v>
      </c>
      <c r="B56" s="23" t="n"/>
      <c r="C56" s="24" t="n"/>
      <c r="D56" s="22" t="n"/>
      <c r="E56" s="22" t="n"/>
      <c r="F56" s="25" t="n"/>
      <c r="G56" s="26" t="n"/>
      <c r="H56" s="25">
        <f>IF(OR(F56="",G56=""),"",F56*G56)</f>
        <v/>
      </c>
      <c r="I56" s="23" t="n"/>
      <c r="J56" s="24" t="n"/>
      <c r="K56" s="24">
        <f>IF(OR(C56="",J56=""),"",J56-C56)</f>
        <v/>
      </c>
      <c r="L56" s="26">
        <f>IF(OR(B56="",I56=""),"",I56-B56)</f>
        <v/>
      </c>
      <c r="M56" s="39">
        <f>IF(OR(H56="",K56="",K56=0),"",H56/K56)</f>
        <v/>
      </c>
      <c r="N56" s="22" t="n"/>
    </row>
    <row r="57" ht="22" customHeight="1">
      <c r="A57" s="27" t="n">
        <v>54</v>
      </c>
      <c r="B57" s="28" t="n"/>
      <c r="C57" s="29" t="n"/>
      <c r="D57" s="27" t="n"/>
      <c r="E57" s="27" t="n"/>
      <c r="F57" s="30" t="n"/>
      <c r="G57" s="31" t="n"/>
      <c r="H57" s="30">
        <f>IF(OR(F57="",G57=""),"",F57*G57)</f>
        <v/>
      </c>
      <c r="I57" s="28" t="n"/>
      <c r="J57" s="29" t="n"/>
      <c r="K57" s="29">
        <f>IF(OR(C57="",J57=""),"",J57-C57)</f>
        <v/>
      </c>
      <c r="L57" s="31">
        <f>IF(OR(B57="",I57=""),"",I57-B57)</f>
        <v/>
      </c>
      <c r="M57" s="40">
        <f>IF(OR(H57="",K57="",K57=0),"",H57/K57)</f>
        <v/>
      </c>
      <c r="N57" s="27" t="n"/>
    </row>
    <row r="58" ht="22" customHeight="1">
      <c r="A58" s="22" t="n">
        <v>55</v>
      </c>
      <c r="B58" s="23" t="n"/>
      <c r="C58" s="24" t="n"/>
      <c r="D58" s="22" t="n"/>
      <c r="E58" s="22" t="n"/>
      <c r="F58" s="25" t="n"/>
      <c r="G58" s="26" t="n"/>
      <c r="H58" s="25">
        <f>IF(OR(F58="",G58=""),"",F58*G58)</f>
        <v/>
      </c>
      <c r="I58" s="23" t="n"/>
      <c r="J58" s="24" t="n"/>
      <c r="K58" s="24">
        <f>IF(OR(C58="",J58=""),"",J58-C58)</f>
        <v/>
      </c>
      <c r="L58" s="26">
        <f>IF(OR(B58="",I58=""),"",I58-B58)</f>
        <v/>
      </c>
      <c r="M58" s="39">
        <f>IF(OR(H58="",K58="",K58=0),"",H58/K58)</f>
        <v/>
      </c>
      <c r="N58" s="22" t="n"/>
    </row>
    <row r="59" ht="22" customHeight="1">
      <c r="A59" s="27" t="n">
        <v>56</v>
      </c>
      <c r="B59" s="28" t="n"/>
      <c r="C59" s="29" t="n"/>
      <c r="D59" s="27" t="n"/>
      <c r="E59" s="27" t="n"/>
      <c r="F59" s="30" t="n"/>
      <c r="G59" s="31" t="n"/>
      <c r="H59" s="30">
        <f>IF(OR(F59="",G59=""),"",F59*G59)</f>
        <v/>
      </c>
      <c r="I59" s="28" t="n"/>
      <c r="J59" s="29" t="n"/>
      <c r="K59" s="29">
        <f>IF(OR(C59="",J59=""),"",J59-C59)</f>
        <v/>
      </c>
      <c r="L59" s="31">
        <f>IF(OR(B59="",I59=""),"",I59-B59)</f>
        <v/>
      </c>
      <c r="M59" s="40">
        <f>IF(OR(H59="",K59="",K59=0),"",H59/K59)</f>
        <v/>
      </c>
      <c r="N59" s="27" t="n"/>
    </row>
    <row r="60" ht="22" customHeight="1">
      <c r="A60" s="22" t="n">
        <v>57</v>
      </c>
      <c r="B60" s="23" t="n"/>
      <c r="C60" s="24" t="n"/>
      <c r="D60" s="22" t="n"/>
      <c r="E60" s="22" t="n"/>
      <c r="F60" s="25" t="n"/>
      <c r="G60" s="26" t="n"/>
      <c r="H60" s="25">
        <f>IF(OR(F60="",G60=""),"",F60*G60)</f>
        <v/>
      </c>
      <c r="I60" s="23" t="n"/>
      <c r="J60" s="24" t="n"/>
      <c r="K60" s="24">
        <f>IF(OR(C60="",J60=""),"",J60-C60)</f>
        <v/>
      </c>
      <c r="L60" s="26">
        <f>IF(OR(B60="",I60=""),"",I60-B60)</f>
        <v/>
      </c>
      <c r="M60" s="39">
        <f>IF(OR(H60="",K60="",K60=0),"",H60/K60)</f>
        <v/>
      </c>
      <c r="N60" s="22" t="n"/>
    </row>
    <row r="61" ht="22" customHeight="1">
      <c r="A61" s="27" t="n">
        <v>58</v>
      </c>
      <c r="B61" s="28" t="n"/>
      <c r="C61" s="29" t="n"/>
      <c r="D61" s="27" t="n"/>
      <c r="E61" s="27" t="n"/>
      <c r="F61" s="30" t="n"/>
      <c r="G61" s="31" t="n"/>
      <c r="H61" s="30">
        <f>IF(OR(F61="",G61=""),"",F61*G61)</f>
        <v/>
      </c>
      <c r="I61" s="28" t="n"/>
      <c r="J61" s="29" t="n"/>
      <c r="K61" s="29">
        <f>IF(OR(C61="",J61=""),"",J61-C61)</f>
        <v/>
      </c>
      <c r="L61" s="31">
        <f>IF(OR(B61="",I61=""),"",I61-B61)</f>
        <v/>
      </c>
      <c r="M61" s="40">
        <f>IF(OR(H61="",K61="",K61=0),"",H61/K61)</f>
        <v/>
      </c>
      <c r="N61" s="27" t="n"/>
    </row>
    <row r="62" ht="22" customHeight="1">
      <c r="A62" s="22" t="n">
        <v>59</v>
      </c>
      <c r="B62" s="23" t="n"/>
      <c r="C62" s="24" t="n"/>
      <c r="D62" s="22" t="n"/>
      <c r="E62" s="22" t="n"/>
      <c r="F62" s="25" t="n"/>
      <c r="G62" s="26" t="n"/>
      <c r="H62" s="25">
        <f>IF(OR(F62="",G62=""),"",F62*G62)</f>
        <v/>
      </c>
      <c r="I62" s="23" t="n"/>
      <c r="J62" s="24" t="n"/>
      <c r="K62" s="24">
        <f>IF(OR(C62="",J62=""),"",J62-C62)</f>
        <v/>
      </c>
      <c r="L62" s="26">
        <f>IF(OR(B62="",I62=""),"",I62-B62)</f>
        <v/>
      </c>
      <c r="M62" s="39">
        <f>IF(OR(H62="",K62="",K62=0),"",H62/K62)</f>
        <v/>
      </c>
      <c r="N62" s="22" t="n"/>
    </row>
    <row r="63" ht="22" customHeight="1">
      <c r="A63" s="27" t="n">
        <v>60</v>
      </c>
      <c r="B63" s="28" t="n"/>
      <c r="C63" s="29" t="n"/>
      <c r="D63" s="27" t="n"/>
      <c r="E63" s="27" t="n"/>
      <c r="F63" s="30" t="n"/>
      <c r="G63" s="31" t="n"/>
      <c r="H63" s="30">
        <f>IF(OR(F63="",G63=""),"",F63*G63)</f>
        <v/>
      </c>
      <c r="I63" s="28" t="n"/>
      <c r="J63" s="29" t="n"/>
      <c r="K63" s="29">
        <f>IF(OR(C63="",J63=""),"",J63-C63)</f>
        <v/>
      </c>
      <c r="L63" s="31">
        <f>IF(OR(B63="",I63=""),"",I63-B63)</f>
        <v/>
      </c>
      <c r="M63" s="40">
        <f>IF(OR(H63="",K63="",K63=0),"",H63/K63)</f>
        <v/>
      </c>
      <c r="N63" s="27" t="n"/>
    </row>
    <row r="64" ht="22" customHeight="1">
      <c r="A64" s="22" t="n">
        <v>61</v>
      </c>
      <c r="B64" s="23" t="n"/>
      <c r="C64" s="24" t="n"/>
      <c r="D64" s="22" t="n"/>
      <c r="E64" s="22" t="n"/>
      <c r="F64" s="25" t="n"/>
      <c r="G64" s="26" t="n"/>
      <c r="H64" s="25">
        <f>IF(OR(F64="",G64=""),"",F64*G64)</f>
        <v/>
      </c>
      <c r="I64" s="23" t="n"/>
      <c r="J64" s="24" t="n"/>
      <c r="K64" s="24">
        <f>IF(OR(C64="",J64=""),"",J64-C64)</f>
        <v/>
      </c>
      <c r="L64" s="26">
        <f>IF(OR(B64="",I64=""),"",I64-B64)</f>
        <v/>
      </c>
      <c r="M64" s="39">
        <f>IF(OR(H64="",K64="",K64=0),"",H64/K64)</f>
        <v/>
      </c>
      <c r="N64" s="22" t="n"/>
    </row>
    <row r="65" ht="22" customHeight="1">
      <c r="A65" s="27" t="n">
        <v>62</v>
      </c>
      <c r="B65" s="28" t="n"/>
      <c r="C65" s="29" t="n"/>
      <c r="D65" s="27" t="n"/>
      <c r="E65" s="27" t="n"/>
      <c r="F65" s="30" t="n"/>
      <c r="G65" s="31" t="n"/>
      <c r="H65" s="30">
        <f>IF(OR(F65="",G65=""),"",F65*G65)</f>
        <v/>
      </c>
      <c r="I65" s="28" t="n"/>
      <c r="J65" s="29" t="n"/>
      <c r="K65" s="29">
        <f>IF(OR(C65="",J65=""),"",J65-C65)</f>
        <v/>
      </c>
      <c r="L65" s="31">
        <f>IF(OR(B65="",I65=""),"",I65-B65)</f>
        <v/>
      </c>
      <c r="M65" s="40">
        <f>IF(OR(H65="",K65="",K65=0),"",H65/K65)</f>
        <v/>
      </c>
      <c r="N65" s="27" t="n"/>
    </row>
    <row r="66" ht="22" customHeight="1">
      <c r="A66" s="22" t="n">
        <v>63</v>
      </c>
      <c r="B66" s="23" t="n"/>
      <c r="C66" s="24" t="n"/>
      <c r="D66" s="22" t="n"/>
      <c r="E66" s="22" t="n"/>
      <c r="F66" s="25" t="n"/>
      <c r="G66" s="26" t="n"/>
      <c r="H66" s="25">
        <f>IF(OR(F66="",G66=""),"",F66*G66)</f>
        <v/>
      </c>
      <c r="I66" s="23" t="n"/>
      <c r="J66" s="24" t="n"/>
      <c r="K66" s="24">
        <f>IF(OR(C66="",J66=""),"",J66-C66)</f>
        <v/>
      </c>
      <c r="L66" s="26">
        <f>IF(OR(B66="",I66=""),"",I66-B66)</f>
        <v/>
      </c>
      <c r="M66" s="39">
        <f>IF(OR(H66="",K66="",K66=0),"",H66/K66)</f>
        <v/>
      </c>
      <c r="N66" s="22" t="n"/>
    </row>
    <row r="67" ht="22" customHeight="1">
      <c r="A67" s="27" t="n">
        <v>64</v>
      </c>
      <c r="B67" s="28" t="n"/>
      <c r="C67" s="29" t="n"/>
      <c r="D67" s="27" t="n"/>
      <c r="E67" s="27" t="n"/>
      <c r="F67" s="30" t="n"/>
      <c r="G67" s="31" t="n"/>
      <c r="H67" s="30">
        <f>IF(OR(F67="",G67=""),"",F67*G67)</f>
        <v/>
      </c>
      <c r="I67" s="28" t="n"/>
      <c r="J67" s="29" t="n"/>
      <c r="K67" s="29">
        <f>IF(OR(C67="",J67=""),"",J67-C67)</f>
        <v/>
      </c>
      <c r="L67" s="31">
        <f>IF(OR(B67="",I67=""),"",I67-B67)</f>
        <v/>
      </c>
      <c r="M67" s="40">
        <f>IF(OR(H67="",K67="",K67=0),"",H67/K67)</f>
        <v/>
      </c>
      <c r="N67" s="27" t="n"/>
    </row>
    <row r="68" ht="22" customHeight="1">
      <c r="A68" s="22" t="n">
        <v>65</v>
      </c>
      <c r="B68" s="23" t="n"/>
      <c r="C68" s="24" t="n"/>
      <c r="D68" s="22" t="n"/>
      <c r="E68" s="22" t="n"/>
      <c r="F68" s="25" t="n"/>
      <c r="G68" s="26" t="n"/>
      <c r="H68" s="25">
        <f>IF(OR(F68="",G68=""),"",F68*G68)</f>
        <v/>
      </c>
      <c r="I68" s="23" t="n"/>
      <c r="J68" s="24" t="n"/>
      <c r="K68" s="24">
        <f>IF(OR(C68="",J68=""),"",J68-C68)</f>
        <v/>
      </c>
      <c r="L68" s="26">
        <f>IF(OR(B68="",I68=""),"",I68-B68)</f>
        <v/>
      </c>
      <c r="M68" s="39">
        <f>IF(OR(H68="",K68="",K68=0),"",H68/K68)</f>
        <v/>
      </c>
      <c r="N68" s="22" t="n"/>
    </row>
    <row r="69" ht="22" customHeight="1">
      <c r="A69" s="27" t="n">
        <v>66</v>
      </c>
      <c r="B69" s="28" t="n"/>
      <c r="C69" s="29" t="n"/>
      <c r="D69" s="27" t="n"/>
      <c r="E69" s="27" t="n"/>
      <c r="F69" s="30" t="n"/>
      <c r="G69" s="31" t="n"/>
      <c r="H69" s="30">
        <f>IF(OR(F69="",G69=""),"",F69*G69)</f>
        <v/>
      </c>
      <c r="I69" s="28" t="n"/>
      <c r="J69" s="29" t="n"/>
      <c r="K69" s="29">
        <f>IF(OR(C69="",J69=""),"",J69-C69)</f>
        <v/>
      </c>
      <c r="L69" s="31">
        <f>IF(OR(B69="",I69=""),"",I69-B69)</f>
        <v/>
      </c>
      <c r="M69" s="40">
        <f>IF(OR(H69="",K69="",K69=0),"",H69/K69)</f>
        <v/>
      </c>
      <c r="N69" s="27" t="n"/>
    </row>
    <row r="70" ht="22" customHeight="1">
      <c r="A70" s="22" t="n">
        <v>67</v>
      </c>
      <c r="B70" s="23" t="n"/>
      <c r="C70" s="24" t="n"/>
      <c r="D70" s="22" t="n"/>
      <c r="E70" s="22" t="n"/>
      <c r="F70" s="25" t="n"/>
      <c r="G70" s="26" t="n"/>
      <c r="H70" s="25">
        <f>IF(OR(F70="",G70=""),"",F70*G70)</f>
        <v/>
      </c>
      <c r="I70" s="23" t="n"/>
      <c r="J70" s="24" t="n"/>
      <c r="K70" s="24">
        <f>IF(OR(C70="",J70=""),"",J70-C70)</f>
        <v/>
      </c>
      <c r="L70" s="26">
        <f>IF(OR(B70="",I70=""),"",I70-B70)</f>
        <v/>
      </c>
      <c r="M70" s="39">
        <f>IF(OR(H70="",K70="",K70=0),"",H70/K70)</f>
        <v/>
      </c>
      <c r="N70" s="22" t="n"/>
    </row>
    <row r="71" ht="22" customHeight="1">
      <c r="A71" s="27" t="n">
        <v>68</v>
      </c>
      <c r="B71" s="28" t="n"/>
      <c r="C71" s="29" t="n"/>
      <c r="D71" s="27" t="n"/>
      <c r="E71" s="27" t="n"/>
      <c r="F71" s="30" t="n"/>
      <c r="G71" s="31" t="n"/>
      <c r="H71" s="30">
        <f>IF(OR(F71="",G71=""),"",F71*G71)</f>
        <v/>
      </c>
      <c r="I71" s="28" t="n"/>
      <c r="J71" s="29" t="n"/>
      <c r="K71" s="29">
        <f>IF(OR(C71="",J71=""),"",J71-C71)</f>
        <v/>
      </c>
      <c r="L71" s="31">
        <f>IF(OR(B71="",I71=""),"",I71-B71)</f>
        <v/>
      </c>
      <c r="M71" s="40">
        <f>IF(OR(H71="",K71="",K71=0),"",H71/K71)</f>
        <v/>
      </c>
      <c r="N71" s="27" t="n"/>
    </row>
    <row r="72" ht="22" customHeight="1">
      <c r="A72" s="22" t="n">
        <v>69</v>
      </c>
      <c r="B72" s="23" t="n"/>
      <c r="C72" s="24" t="n"/>
      <c r="D72" s="22" t="n"/>
      <c r="E72" s="22" t="n"/>
      <c r="F72" s="25" t="n"/>
      <c r="G72" s="26" t="n"/>
      <c r="H72" s="25">
        <f>IF(OR(F72="",G72=""),"",F72*G72)</f>
        <v/>
      </c>
      <c r="I72" s="23" t="n"/>
      <c r="J72" s="24" t="n"/>
      <c r="K72" s="24">
        <f>IF(OR(C72="",J72=""),"",J72-C72)</f>
        <v/>
      </c>
      <c r="L72" s="26">
        <f>IF(OR(B72="",I72=""),"",I72-B72)</f>
        <v/>
      </c>
      <c r="M72" s="39">
        <f>IF(OR(H72="",K72="",K72=0),"",H72/K72)</f>
        <v/>
      </c>
      <c r="N72" s="22" t="n"/>
    </row>
    <row r="73" ht="22" customHeight="1">
      <c r="A73" s="27" t="n">
        <v>70</v>
      </c>
      <c r="B73" s="28" t="n"/>
      <c r="C73" s="29" t="n"/>
      <c r="D73" s="27" t="n"/>
      <c r="E73" s="27" t="n"/>
      <c r="F73" s="30" t="n"/>
      <c r="G73" s="31" t="n"/>
      <c r="H73" s="30">
        <f>IF(OR(F73="",G73=""),"",F73*G73)</f>
        <v/>
      </c>
      <c r="I73" s="28" t="n"/>
      <c r="J73" s="29" t="n"/>
      <c r="K73" s="29">
        <f>IF(OR(C73="",J73=""),"",J73-C73)</f>
        <v/>
      </c>
      <c r="L73" s="31">
        <f>IF(OR(B73="",I73=""),"",I73-B73)</f>
        <v/>
      </c>
      <c r="M73" s="40">
        <f>IF(OR(H73="",K73="",K73=0),"",H73/K73)</f>
        <v/>
      </c>
      <c r="N73" s="27" t="n"/>
    </row>
    <row r="74" ht="22" customHeight="1">
      <c r="A74" s="22" t="n">
        <v>71</v>
      </c>
      <c r="B74" s="23" t="n"/>
      <c r="C74" s="24" t="n"/>
      <c r="D74" s="22" t="n"/>
      <c r="E74" s="22" t="n"/>
      <c r="F74" s="25" t="n"/>
      <c r="G74" s="26" t="n"/>
      <c r="H74" s="25">
        <f>IF(OR(F74="",G74=""),"",F74*G74)</f>
        <v/>
      </c>
      <c r="I74" s="23" t="n"/>
      <c r="J74" s="24" t="n"/>
      <c r="K74" s="24">
        <f>IF(OR(C74="",J74=""),"",J74-C74)</f>
        <v/>
      </c>
      <c r="L74" s="26">
        <f>IF(OR(B74="",I74=""),"",I74-B74)</f>
        <v/>
      </c>
      <c r="M74" s="39">
        <f>IF(OR(H74="",K74="",K74=0),"",H74/K74)</f>
        <v/>
      </c>
      <c r="N74" s="22" t="n"/>
    </row>
    <row r="75" ht="22" customHeight="1">
      <c r="A75" s="27" t="n">
        <v>72</v>
      </c>
      <c r="B75" s="28" t="n"/>
      <c r="C75" s="29" t="n"/>
      <c r="D75" s="27" t="n"/>
      <c r="E75" s="27" t="n"/>
      <c r="F75" s="30" t="n"/>
      <c r="G75" s="31" t="n"/>
      <c r="H75" s="30">
        <f>IF(OR(F75="",G75=""),"",F75*G75)</f>
        <v/>
      </c>
      <c r="I75" s="28" t="n"/>
      <c r="J75" s="29" t="n"/>
      <c r="K75" s="29">
        <f>IF(OR(C75="",J75=""),"",J75-C75)</f>
        <v/>
      </c>
      <c r="L75" s="31">
        <f>IF(OR(B75="",I75=""),"",I75-B75)</f>
        <v/>
      </c>
      <c r="M75" s="40">
        <f>IF(OR(H75="",K75="",K75=0),"",H75/K75)</f>
        <v/>
      </c>
      <c r="N75" s="27" t="n"/>
    </row>
    <row r="76" ht="22" customHeight="1">
      <c r="A76" s="22" t="n">
        <v>73</v>
      </c>
      <c r="B76" s="23" t="n"/>
      <c r="C76" s="24" t="n"/>
      <c r="D76" s="22" t="n"/>
      <c r="E76" s="22" t="n"/>
      <c r="F76" s="25" t="n"/>
      <c r="G76" s="26" t="n"/>
      <c r="H76" s="25">
        <f>IF(OR(F76="",G76=""),"",F76*G76)</f>
        <v/>
      </c>
      <c r="I76" s="23" t="n"/>
      <c r="J76" s="24" t="n"/>
      <c r="K76" s="24">
        <f>IF(OR(C76="",J76=""),"",J76-C76)</f>
        <v/>
      </c>
      <c r="L76" s="26">
        <f>IF(OR(B76="",I76=""),"",I76-B76)</f>
        <v/>
      </c>
      <c r="M76" s="39">
        <f>IF(OR(H76="",K76="",K76=0),"",H76/K76)</f>
        <v/>
      </c>
      <c r="N76" s="22" t="n"/>
    </row>
    <row r="77" ht="22" customHeight="1">
      <c r="A77" s="27" t="n">
        <v>74</v>
      </c>
      <c r="B77" s="28" t="n"/>
      <c r="C77" s="29" t="n"/>
      <c r="D77" s="27" t="n"/>
      <c r="E77" s="27" t="n"/>
      <c r="F77" s="30" t="n"/>
      <c r="G77" s="31" t="n"/>
      <c r="H77" s="30">
        <f>IF(OR(F77="",G77=""),"",F77*G77)</f>
        <v/>
      </c>
      <c r="I77" s="28" t="n"/>
      <c r="J77" s="29" t="n"/>
      <c r="K77" s="29">
        <f>IF(OR(C77="",J77=""),"",J77-C77)</f>
        <v/>
      </c>
      <c r="L77" s="31">
        <f>IF(OR(B77="",I77=""),"",I77-B77)</f>
        <v/>
      </c>
      <c r="M77" s="40">
        <f>IF(OR(H77="",K77="",K77=0),"",H77/K77)</f>
        <v/>
      </c>
      <c r="N77" s="27" t="n"/>
    </row>
    <row r="78" ht="22" customHeight="1">
      <c r="A78" s="22" t="n">
        <v>75</v>
      </c>
      <c r="B78" s="23" t="n"/>
      <c r="C78" s="24" t="n"/>
      <c r="D78" s="22" t="n"/>
      <c r="E78" s="22" t="n"/>
      <c r="F78" s="25" t="n"/>
      <c r="G78" s="26" t="n"/>
      <c r="H78" s="25">
        <f>IF(OR(F78="",G78=""),"",F78*G78)</f>
        <v/>
      </c>
      <c r="I78" s="23" t="n"/>
      <c r="J78" s="24" t="n"/>
      <c r="K78" s="24">
        <f>IF(OR(C78="",J78=""),"",J78-C78)</f>
        <v/>
      </c>
      <c r="L78" s="26">
        <f>IF(OR(B78="",I78=""),"",I78-B78)</f>
        <v/>
      </c>
      <c r="M78" s="39">
        <f>IF(OR(H78="",K78="",K78=0),"",H78/K78)</f>
        <v/>
      </c>
      <c r="N78" s="22" t="n"/>
    </row>
    <row r="79" ht="22" customHeight="1">
      <c r="A79" s="27" t="n">
        <v>76</v>
      </c>
      <c r="B79" s="28" t="n"/>
      <c r="C79" s="29" t="n"/>
      <c r="D79" s="27" t="n"/>
      <c r="E79" s="27" t="n"/>
      <c r="F79" s="30" t="n"/>
      <c r="G79" s="31" t="n"/>
      <c r="H79" s="30">
        <f>IF(OR(F79="",G79=""),"",F79*G79)</f>
        <v/>
      </c>
      <c r="I79" s="28" t="n"/>
      <c r="J79" s="29" t="n"/>
      <c r="K79" s="29">
        <f>IF(OR(C79="",J79=""),"",J79-C79)</f>
        <v/>
      </c>
      <c r="L79" s="31">
        <f>IF(OR(B79="",I79=""),"",I79-B79)</f>
        <v/>
      </c>
      <c r="M79" s="40">
        <f>IF(OR(H79="",K79="",K79=0),"",H79/K79)</f>
        <v/>
      </c>
      <c r="N79" s="27" t="n"/>
    </row>
    <row r="80" ht="22" customHeight="1">
      <c r="A80" s="22" t="n">
        <v>77</v>
      </c>
      <c r="B80" s="23" t="n"/>
      <c r="C80" s="24" t="n"/>
      <c r="D80" s="22" t="n"/>
      <c r="E80" s="22" t="n"/>
      <c r="F80" s="25" t="n"/>
      <c r="G80" s="26" t="n"/>
      <c r="H80" s="25">
        <f>IF(OR(F80="",G80=""),"",F80*G80)</f>
        <v/>
      </c>
      <c r="I80" s="23" t="n"/>
      <c r="J80" s="24" t="n"/>
      <c r="K80" s="24">
        <f>IF(OR(C80="",J80=""),"",J80-C80)</f>
        <v/>
      </c>
      <c r="L80" s="26">
        <f>IF(OR(B80="",I80=""),"",I80-B80)</f>
        <v/>
      </c>
      <c r="M80" s="39">
        <f>IF(OR(H80="",K80="",K80=0),"",H80/K80)</f>
        <v/>
      </c>
      <c r="N80" s="22" t="n"/>
    </row>
    <row r="81" ht="22" customHeight="1">
      <c r="A81" s="27" t="n">
        <v>78</v>
      </c>
      <c r="B81" s="28" t="n"/>
      <c r="C81" s="29" t="n"/>
      <c r="D81" s="27" t="n"/>
      <c r="E81" s="27" t="n"/>
      <c r="F81" s="30" t="n"/>
      <c r="G81" s="31" t="n"/>
      <c r="H81" s="30">
        <f>IF(OR(F81="",G81=""),"",F81*G81)</f>
        <v/>
      </c>
      <c r="I81" s="28" t="n"/>
      <c r="J81" s="29" t="n"/>
      <c r="K81" s="29">
        <f>IF(OR(C81="",J81=""),"",J81-C81)</f>
        <v/>
      </c>
      <c r="L81" s="31">
        <f>IF(OR(B81="",I81=""),"",I81-B81)</f>
        <v/>
      </c>
      <c r="M81" s="40">
        <f>IF(OR(H81="",K81="",K81=0),"",H81/K81)</f>
        <v/>
      </c>
      <c r="N81" s="27" t="n"/>
    </row>
    <row r="82" ht="22" customHeight="1">
      <c r="A82" s="22" t="n">
        <v>79</v>
      </c>
      <c r="B82" s="23" t="n"/>
      <c r="C82" s="24" t="n"/>
      <c r="D82" s="22" t="n"/>
      <c r="E82" s="22" t="n"/>
      <c r="F82" s="25" t="n"/>
      <c r="G82" s="26" t="n"/>
      <c r="H82" s="25">
        <f>IF(OR(F82="",G82=""),"",F82*G82)</f>
        <v/>
      </c>
      <c r="I82" s="23" t="n"/>
      <c r="J82" s="24" t="n"/>
      <c r="K82" s="24">
        <f>IF(OR(C82="",J82=""),"",J82-C82)</f>
        <v/>
      </c>
      <c r="L82" s="26">
        <f>IF(OR(B82="",I82=""),"",I82-B82)</f>
        <v/>
      </c>
      <c r="M82" s="39">
        <f>IF(OR(H82="",K82="",K82=0),"",H82/K82)</f>
        <v/>
      </c>
      <c r="N82" s="22" t="n"/>
    </row>
    <row r="83" ht="22" customHeight="1">
      <c r="A83" s="27" t="n">
        <v>80</v>
      </c>
      <c r="B83" s="28" t="n"/>
      <c r="C83" s="29" t="n"/>
      <c r="D83" s="27" t="n"/>
      <c r="E83" s="27" t="n"/>
      <c r="F83" s="30" t="n"/>
      <c r="G83" s="31" t="n"/>
      <c r="H83" s="30">
        <f>IF(OR(F83="",G83=""),"",F83*G83)</f>
        <v/>
      </c>
      <c r="I83" s="28" t="n"/>
      <c r="J83" s="29" t="n"/>
      <c r="K83" s="29">
        <f>IF(OR(C83="",J83=""),"",J83-C83)</f>
        <v/>
      </c>
      <c r="L83" s="31">
        <f>IF(OR(B83="",I83=""),"",I83-B83)</f>
        <v/>
      </c>
      <c r="M83" s="40">
        <f>IF(OR(H83="",K83="",K83=0),"",H83/K83)</f>
        <v/>
      </c>
      <c r="N83" s="27" t="n"/>
    </row>
    <row r="84">
      <c r="A84" s="32" t="inlineStr">
        <is>
          <t>TOTAL INVESTIDO EM PNEUS</t>
        </is>
      </c>
      <c r="B84" s="33" t="n"/>
      <c r="C84" s="33" t="n"/>
      <c r="D84" s="33" t="n"/>
      <c r="E84" s="33" t="n"/>
      <c r="F84" s="33" t="n"/>
      <c r="G84" s="33" t="n"/>
      <c r="H84" s="34">
        <f>SUM(H4:H83)</f>
        <v/>
      </c>
    </row>
  </sheetData>
  <autoFilter ref="A3:N83"/>
  <mergeCells count="3">
    <mergeCell ref="A84:G84"/>
    <mergeCell ref="A2:N2"/>
    <mergeCell ref="A1:N1"/>
  </mergeCells>
  <conditionalFormatting sqref="M4:M83">
    <cfRule type="cellIs" priority="1" operator="greaterThan" dxfId="0">
      <formula>0.5</formula>
    </cfRule>
  </conditionalFormatting>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showDropDown="0" showInputMessage="0" showErrorMessage="0" allowBlank="1" prompt="Posição do pneu" type="list">
      <formula1>"Dianteiro Esquerdo,Dianteiro Direito,Traseiro Esquerdo,Traseiro Direito,Estepe,Todos Dianteiros,Todos Traseiros,Todos"</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showDropDown="0" showInputMessage="0" showErrorMessage="0" allowBlank="1" type="list">
      <formula1>"Desgaste natural,Furo irreparável,Bolha lateral,Corte,Desgaste irregular,Rodízio,Recall,Outro"</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C0392B"/>
    <outlinePr summaryBelow="1" summaryRight="1"/>
    <pageSetUpPr fitToPage="1"/>
  </sheetPr>
  <dimension ref="A1:L155"/>
  <sheetViews>
    <sheetView workbookViewId="0">
      <pane ySplit="3" topLeftCell="A4" activePane="bottomLeft" state="frozen"/>
      <selection pane="bottomLeft" activeCell="A1" sqref="A1"/>
    </sheetView>
  </sheetViews>
  <sheetFormatPr baseColWidth="8" defaultRowHeight="15"/>
  <cols>
    <col width="5" customWidth="1" min="1" max="1"/>
    <col width="14" customWidth="1" min="2" max="2"/>
    <col width="16" customWidth="1" min="3" max="3"/>
    <col width="10" customWidth="1" min="4" max="4"/>
    <col width="16" customWidth="1" min="5" max="5"/>
    <col width="16" customWidth="1" min="6" max="6"/>
    <col width="24" customWidth="1" min="7" max="7"/>
    <col width="14" customWidth="1" min="8" max="8"/>
    <col width="20" customWidth="1" min="9" max="9"/>
    <col width="16" customWidth="1" min="10" max="10"/>
    <col width="18" customWidth="1" min="11" max="11"/>
    <col width="24" customWidth="1" min="12" max="12"/>
  </cols>
  <sheetData>
    <row r="1" ht="38" customHeight="1">
      <c r="A1" s="47" t="inlineStr">
        <is>
          <t>CONTROLE DE ABASTECIMENTO — KIA BONGO 2014</t>
        </is>
      </c>
      <c r="B1" s="48" t="n"/>
      <c r="C1" s="48" t="n"/>
      <c r="D1" s="48" t="n"/>
      <c r="E1" s="48" t="n"/>
      <c r="F1" s="48" t="n"/>
      <c r="G1" s="48" t="n"/>
      <c r="H1" s="48" t="n"/>
      <c r="I1" s="48" t="n"/>
      <c r="J1" s="48" t="n"/>
      <c r="K1" s="48" t="n"/>
      <c r="L1" s="48" t="n"/>
    </row>
    <row r="2">
      <c r="A2" s="49" t="inlineStr">
        <is>
          <t>Tanque: 65 litros | Combustível: Diesel S10</t>
        </is>
      </c>
    </row>
    <row r="3" ht="32" customHeight="1">
      <c r="A3" s="12" t="inlineStr">
        <is>
          <t>Nº</t>
        </is>
      </c>
      <c r="B3" s="12" t="inlineStr">
        <is>
          <t>Data</t>
        </is>
      </c>
      <c r="C3" s="12" t="inlineStr">
        <is>
          <t>Odômetro (km)</t>
        </is>
      </c>
      <c r="D3" s="12" t="inlineStr">
        <is>
          <t>Litros</t>
        </is>
      </c>
      <c r="E3" s="12" t="inlineStr">
        <is>
          <t>Valor/Litro (R$)</t>
        </is>
      </c>
      <c r="F3" s="12" t="inlineStr">
        <is>
          <t>Valor Total (R$)</t>
        </is>
      </c>
      <c r="G3" s="12" t="inlineStr">
        <is>
          <t>Posto / Local</t>
        </is>
      </c>
      <c r="H3" s="12" t="inlineStr">
        <is>
          <t>Tanque Cheio?</t>
        </is>
      </c>
      <c r="I3" s="12" t="inlineStr">
        <is>
          <t>Km desde Último Abast.</t>
        </is>
      </c>
      <c r="J3" s="12" t="inlineStr">
        <is>
          <t>Consumo (km/l)</t>
        </is>
      </c>
      <c r="K3" s="12" t="inlineStr">
        <is>
          <t>Custo por Km (R$/km)</t>
        </is>
      </c>
      <c r="L3" s="12" t="inlineStr">
        <is>
          <t>Observação</t>
        </is>
      </c>
    </row>
    <row r="4" ht="22" customHeight="1">
      <c r="A4" s="22" t="n">
        <v>1</v>
      </c>
      <c r="B4" s="23" t="n"/>
      <c r="C4" s="24" t="n"/>
      <c r="D4" s="41" t="n"/>
      <c r="E4" s="25" t="n"/>
      <c r="F4" s="25">
        <f>IF(OR(D4="",E4=""),"",D4*E4)</f>
        <v/>
      </c>
      <c r="G4" s="22" t="n"/>
      <c r="H4" s="22" t="n"/>
      <c r="I4" s="24" t="inlineStr"/>
      <c r="J4" s="41" t="inlineStr"/>
      <c r="K4" s="25" t="inlineStr"/>
      <c r="L4" s="22" t="n"/>
    </row>
    <row r="5" ht="22" customHeight="1">
      <c r="A5" s="27" t="n">
        <v>2</v>
      </c>
      <c r="B5" s="28" t="n"/>
      <c r="C5" s="29" t="n"/>
      <c r="D5" s="42" t="n"/>
      <c r="E5" s="30" t="n"/>
      <c r="F5" s="30">
        <f>IF(OR(D5="",E5=""),"",D5*E5)</f>
        <v/>
      </c>
      <c r="G5" s="27" t="n"/>
      <c r="H5" s="27" t="n"/>
      <c r="I5" s="29">
        <f>IF(OR(C5="",C4=""),"",C5-C4)</f>
        <v/>
      </c>
      <c r="J5" s="42">
        <f>IF(OR(I5="",D5="",D5=0,I5=0),"",I5/D5)</f>
        <v/>
      </c>
      <c r="K5" s="30">
        <f>IF(OR(F5="",I5="",I5=0),"",F5/I5)</f>
        <v/>
      </c>
      <c r="L5" s="27" t="n"/>
    </row>
    <row r="6" ht="22" customHeight="1">
      <c r="A6" s="22" t="n">
        <v>3</v>
      </c>
      <c r="B6" s="23" t="n"/>
      <c r="C6" s="24" t="n"/>
      <c r="D6" s="41" t="n"/>
      <c r="E6" s="25" t="n"/>
      <c r="F6" s="25">
        <f>IF(OR(D6="",E6=""),"",D6*E6)</f>
        <v/>
      </c>
      <c r="G6" s="22" t="n"/>
      <c r="H6" s="22" t="n"/>
      <c r="I6" s="24">
        <f>IF(OR(C6="",C5=""),"",C6-C5)</f>
        <v/>
      </c>
      <c r="J6" s="41">
        <f>IF(OR(I6="",D6="",D6=0,I6=0),"",I6/D6)</f>
        <v/>
      </c>
      <c r="K6" s="25">
        <f>IF(OR(F6="",I6="",I6=0),"",F6/I6)</f>
        <v/>
      </c>
      <c r="L6" s="22" t="n"/>
    </row>
    <row r="7" ht="22" customHeight="1">
      <c r="A7" s="27" t="n">
        <v>4</v>
      </c>
      <c r="B7" s="28" t="n"/>
      <c r="C7" s="29" t="n"/>
      <c r="D7" s="42" t="n"/>
      <c r="E7" s="30" t="n"/>
      <c r="F7" s="30">
        <f>IF(OR(D7="",E7=""),"",D7*E7)</f>
        <v/>
      </c>
      <c r="G7" s="27" t="n"/>
      <c r="H7" s="27" t="n"/>
      <c r="I7" s="29">
        <f>IF(OR(C7="",C6=""),"",C7-C6)</f>
        <v/>
      </c>
      <c r="J7" s="42">
        <f>IF(OR(I7="",D7="",D7=0,I7=0),"",I7/D7)</f>
        <v/>
      </c>
      <c r="K7" s="30">
        <f>IF(OR(F7="",I7="",I7=0),"",F7/I7)</f>
        <v/>
      </c>
      <c r="L7" s="27" t="n"/>
    </row>
    <row r="8" ht="22" customHeight="1">
      <c r="A8" s="22" t="n">
        <v>5</v>
      </c>
      <c r="B8" s="23" t="n"/>
      <c r="C8" s="24" t="n"/>
      <c r="D8" s="41" t="n"/>
      <c r="E8" s="25" t="n"/>
      <c r="F8" s="25">
        <f>IF(OR(D8="",E8=""),"",D8*E8)</f>
        <v/>
      </c>
      <c r="G8" s="22" t="n"/>
      <c r="H8" s="22" t="n"/>
      <c r="I8" s="24">
        <f>IF(OR(C8="",C7=""),"",C8-C7)</f>
        <v/>
      </c>
      <c r="J8" s="41">
        <f>IF(OR(I8="",D8="",D8=0,I8=0),"",I8/D8)</f>
        <v/>
      </c>
      <c r="K8" s="25">
        <f>IF(OR(F8="",I8="",I8=0),"",F8/I8)</f>
        <v/>
      </c>
      <c r="L8" s="22" t="n"/>
    </row>
    <row r="9" ht="22" customHeight="1">
      <c r="A9" s="27" t="n">
        <v>6</v>
      </c>
      <c r="B9" s="28" t="n"/>
      <c r="C9" s="29" t="n"/>
      <c r="D9" s="42" t="n"/>
      <c r="E9" s="30" t="n"/>
      <c r="F9" s="30">
        <f>IF(OR(D9="",E9=""),"",D9*E9)</f>
        <v/>
      </c>
      <c r="G9" s="27" t="n"/>
      <c r="H9" s="27" t="n"/>
      <c r="I9" s="29">
        <f>IF(OR(C9="",C8=""),"",C9-C8)</f>
        <v/>
      </c>
      <c r="J9" s="42">
        <f>IF(OR(I9="",D9="",D9=0,I9=0),"",I9/D9)</f>
        <v/>
      </c>
      <c r="K9" s="30">
        <f>IF(OR(F9="",I9="",I9=0),"",F9/I9)</f>
        <v/>
      </c>
      <c r="L9" s="27" t="n"/>
    </row>
    <row r="10" ht="22" customHeight="1">
      <c r="A10" s="22" t="n">
        <v>7</v>
      </c>
      <c r="B10" s="23" t="n"/>
      <c r="C10" s="24" t="n"/>
      <c r="D10" s="41" t="n"/>
      <c r="E10" s="25" t="n"/>
      <c r="F10" s="25">
        <f>IF(OR(D10="",E10=""),"",D10*E10)</f>
        <v/>
      </c>
      <c r="G10" s="22" t="n"/>
      <c r="H10" s="22" t="n"/>
      <c r="I10" s="24">
        <f>IF(OR(C10="",C9=""),"",C10-C9)</f>
        <v/>
      </c>
      <c r="J10" s="41">
        <f>IF(OR(I10="",D10="",D10=0,I10=0),"",I10/D10)</f>
        <v/>
      </c>
      <c r="K10" s="25">
        <f>IF(OR(F10="",I10="",I10=0),"",F10/I10)</f>
        <v/>
      </c>
      <c r="L10" s="22" t="n"/>
    </row>
    <row r="11" ht="22" customHeight="1">
      <c r="A11" s="27" t="n">
        <v>8</v>
      </c>
      <c r="B11" s="28" t="n"/>
      <c r="C11" s="29" t="n"/>
      <c r="D11" s="42" t="n"/>
      <c r="E11" s="30" t="n"/>
      <c r="F11" s="30">
        <f>IF(OR(D11="",E11=""),"",D11*E11)</f>
        <v/>
      </c>
      <c r="G11" s="27" t="n"/>
      <c r="H11" s="27" t="n"/>
      <c r="I11" s="29">
        <f>IF(OR(C11="",C10=""),"",C11-C10)</f>
        <v/>
      </c>
      <c r="J11" s="42">
        <f>IF(OR(I11="",D11="",D11=0,I11=0),"",I11/D11)</f>
        <v/>
      </c>
      <c r="K11" s="30">
        <f>IF(OR(F11="",I11="",I11=0),"",F11/I11)</f>
        <v/>
      </c>
      <c r="L11" s="27" t="n"/>
    </row>
    <row r="12" ht="22" customHeight="1">
      <c r="A12" s="22" t="n">
        <v>9</v>
      </c>
      <c r="B12" s="23" t="n"/>
      <c r="C12" s="24" t="n"/>
      <c r="D12" s="41" t="n"/>
      <c r="E12" s="25" t="n"/>
      <c r="F12" s="25">
        <f>IF(OR(D12="",E12=""),"",D12*E12)</f>
        <v/>
      </c>
      <c r="G12" s="22" t="n"/>
      <c r="H12" s="22" t="n"/>
      <c r="I12" s="24">
        <f>IF(OR(C12="",C11=""),"",C12-C11)</f>
        <v/>
      </c>
      <c r="J12" s="41">
        <f>IF(OR(I12="",D12="",D12=0,I12=0),"",I12/D12)</f>
        <v/>
      </c>
      <c r="K12" s="25">
        <f>IF(OR(F12="",I12="",I12=0),"",F12/I12)</f>
        <v/>
      </c>
      <c r="L12" s="22" t="n"/>
    </row>
    <row r="13" ht="22" customHeight="1">
      <c r="A13" s="27" t="n">
        <v>10</v>
      </c>
      <c r="B13" s="28" t="n"/>
      <c r="C13" s="29" t="n"/>
      <c r="D13" s="42" t="n"/>
      <c r="E13" s="30" t="n"/>
      <c r="F13" s="30">
        <f>IF(OR(D13="",E13=""),"",D13*E13)</f>
        <v/>
      </c>
      <c r="G13" s="27" t="n"/>
      <c r="H13" s="27" t="n"/>
      <c r="I13" s="29">
        <f>IF(OR(C13="",C12=""),"",C13-C12)</f>
        <v/>
      </c>
      <c r="J13" s="42">
        <f>IF(OR(I13="",D13="",D13=0,I13=0),"",I13/D13)</f>
        <v/>
      </c>
      <c r="K13" s="30">
        <f>IF(OR(F13="",I13="",I13=0),"",F13/I13)</f>
        <v/>
      </c>
      <c r="L13" s="27" t="n"/>
    </row>
    <row r="14" ht="22" customHeight="1">
      <c r="A14" s="22" t="n">
        <v>11</v>
      </c>
      <c r="B14" s="23" t="n"/>
      <c r="C14" s="24" t="n"/>
      <c r="D14" s="41" t="n"/>
      <c r="E14" s="25" t="n"/>
      <c r="F14" s="25">
        <f>IF(OR(D14="",E14=""),"",D14*E14)</f>
        <v/>
      </c>
      <c r="G14" s="22" t="n"/>
      <c r="H14" s="22" t="n"/>
      <c r="I14" s="24">
        <f>IF(OR(C14="",C13=""),"",C14-C13)</f>
        <v/>
      </c>
      <c r="J14" s="41">
        <f>IF(OR(I14="",D14="",D14=0,I14=0),"",I14/D14)</f>
        <v/>
      </c>
      <c r="K14" s="25">
        <f>IF(OR(F14="",I14="",I14=0),"",F14/I14)</f>
        <v/>
      </c>
      <c r="L14" s="22" t="n"/>
    </row>
    <row r="15" ht="22" customHeight="1">
      <c r="A15" s="27" t="n">
        <v>12</v>
      </c>
      <c r="B15" s="28" t="n"/>
      <c r="C15" s="29" t="n"/>
      <c r="D15" s="42" t="n"/>
      <c r="E15" s="30" t="n"/>
      <c r="F15" s="30">
        <f>IF(OR(D15="",E15=""),"",D15*E15)</f>
        <v/>
      </c>
      <c r="G15" s="27" t="n"/>
      <c r="H15" s="27" t="n"/>
      <c r="I15" s="29">
        <f>IF(OR(C15="",C14=""),"",C15-C14)</f>
        <v/>
      </c>
      <c r="J15" s="42">
        <f>IF(OR(I15="",D15="",D15=0,I15=0),"",I15/D15)</f>
        <v/>
      </c>
      <c r="K15" s="30">
        <f>IF(OR(F15="",I15="",I15=0),"",F15/I15)</f>
        <v/>
      </c>
      <c r="L15" s="27" t="n"/>
    </row>
    <row r="16" ht="22" customHeight="1">
      <c r="A16" s="22" t="n">
        <v>13</v>
      </c>
      <c r="B16" s="23" t="n"/>
      <c r="C16" s="24" t="n"/>
      <c r="D16" s="41" t="n"/>
      <c r="E16" s="25" t="n"/>
      <c r="F16" s="25">
        <f>IF(OR(D16="",E16=""),"",D16*E16)</f>
        <v/>
      </c>
      <c r="G16" s="22" t="n"/>
      <c r="H16" s="22" t="n"/>
      <c r="I16" s="24">
        <f>IF(OR(C16="",C15=""),"",C16-C15)</f>
        <v/>
      </c>
      <c r="J16" s="41">
        <f>IF(OR(I16="",D16="",D16=0,I16=0),"",I16/D16)</f>
        <v/>
      </c>
      <c r="K16" s="25">
        <f>IF(OR(F16="",I16="",I16=0),"",F16/I16)</f>
        <v/>
      </c>
      <c r="L16" s="22" t="n"/>
    </row>
    <row r="17" ht="22" customHeight="1">
      <c r="A17" s="27" t="n">
        <v>14</v>
      </c>
      <c r="B17" s="28" t="n"/>
      <c r="C17" s="29" t="n"/>
      <c r="D17" s="42" t="n"/>
      <c r="E17" s="30" t="n"/>
      <c r="F17" s="30">
        <f>IF(OR(D17="",E17=""),"",D17*E17)</f>
        <v/>
      </c>
      <c r="G17" s="27" t="n"/>
      <c r="H17" s="27" t="n"/>
      <c r="I17" s="29">
        <f>IF(OR(C17="",C16=""),"",C17-C16)</f>
        <v/>
      </c>
      <c r="J17" s="42">
        <f>IF(OR(I17="",D17="",D17=0,I17=0),"",I17/D17)</f>
        <v/>
      </c>
      <c r="K17" s="30">
        <f>IF(OR(F17="",I17="",I17=0),"",F17/I17)</f>
        <v/>
      </c>
      <c r="L17" s="27" t="n"/>
    </row>
    <row r="18" ht="22" customHeight="1">
      <c r="A18" s="22" t="n">
        <v>15</v>
      </c>
      <c r="B18" s="23" t="n"/>
      <c r="C18" s="24" t="n"/>
      <c r="D18" s="41" t="n"/>
      <c r="E18" s="25" t="n"/>
      <c r="F18" s="25">
        <f>IF(OR(D18="",E18=""),"",D18*E18)</f>
        <v/>
      </c>
      <c r="G18" s="22" t="n"/>
      <c r="H18" s="22" t="n"/>
      <c r="I18" s="24">
        <f>IF(OR(C18="",C17=""),"",C18-C17)</f>
        <v/>
      </c>
      <c r="J18" s="41">
        <f>IF(OR(I18="",D18="",D18=0,I18=0),"",I18/D18)</f>
        <v/>
      </c>
      <c r="K18" s="25">
        <f>IF(OR(F18="",I18="",I18=0),"",F18/I18)</f>
        <v/>
      </c>
      <c r="L18" s="22" t="n"/>
    </row>
    <row r="19" ht="22" customHeight="1">
      <c r="A19" s="27" t="n">
        <v>16</v>
      </c>
      <c r="B19" s="28" t="n"/>
      <c r="C19" s="29" t="n"/>
      <c r="D19" s="42" t="n"/>
      <c r="E19" s="30" t="n"/>
      <c r="F19" s="30">
        <f>IF(OR(D19="",E19=""),"",D19*E19)</f>
        <v/>
      </c>
      <c r="G19" s="27" t="n"/>
      <c r="H19" s="27" t="n"/>
      <c r="I19" s="29">
        <f>IF(OR(C19="",C18=""),"",C19-C18)</f>
        <v/>
      </c>
      <c r="J19" s="42">
        <f>IF(OR(I19="",D19="",D19=0,I19=0),"",I19/D19)</f>
        <v/>
      </c>
      <c r="K19" s="30">
        <f>IF(OR(F19="",I19="",I19=0),"",F19/I19)</f>
        <v/>
      </c>
      <c r="L19" s="27" t="n"/>
    </row>
    <row r="20" ht="22" customHeight="1">
      <c r="A20" s="22" t="n">
        <v>17</v>
      </c>
      <c r="B20" s="23" t="n"/>
      <c r="C20" s="24" t="n"/>
      <c r="D20" s="41" t="n"/>
      <c r="E20" s="25" t="n"/>
      <c r="F20" s="25">
        <f>IF(OR(D20="",E20=""),"",D20*E20)</f>
        <v/>
      </c>
      <c r="G20" s="22" t="n"/>
      <c r="H20" s="22" t="n"/>
      <c r="I20" s="24">
        <f>IF(OR(C20="",C19=""),"",C20-C19)</f>
        <v/>
      </c>
      <c r="J20" s="41">
        <f>IF(OR(I20="",D20="",D20=0,I20=0),"",I20/D20)</f>
        <v/>
      </c>
      <c r="K20" s="25">
        <f>IF(OR(F20="",I20="",I20=0),"",F20/I20)</f>
        <v/>
      </c>
      <c r="L20" s="22" t="n"/>
    </row>
    <row r="21" ht="22" customHeight="1">
      <c r="A21" s="27" t="n">
        <v>18</v>
      </c>
      <c r="B21" s="28" t="n"/>
      <c r="C21" s="29" t="n"/>
      <c r="D21" s="42" t="n"/>
      <c r="E21" s="30" t="n"/>
      <c r="F21" s="30">
        <f>IF(OR(D21="",E21=""),"",D21*E21)</f>
        <v/>
      </c>
      <c r="G21" s="27" t="n"/>
      <c r="H21" s="27" t="n"/>
      <c r="I21" s="29">
        <f>IF(OR(C21="",C20=""),"",C21-C20)</f>
        <v/>
      </c>
      <c r="J21" s="42">
        <f>IF(OR(I21="",D21="",D21=0,I21=0),"",I21/D21)</f>
        <v/>
      </c>
      <c r="K21" s="30">
        <f>IF(OR(F21="",I21="",I21=0),"",F21/I21)</f>
        <v/>
      </c>
      <c r="L21" s="27" t="n"/>
    </row>
    <row r="22" ht="22" customHeight="1">
      <c r="A22" s="22" t="n">
        <v>19</v>
      </c>
      <c r="B22" s="23" t="n"/>
      <c r="C22" s="24" t="n"/>
      <c r="D22" s="41" t="n"/>
      <c r="E22" s="25" t="n"/>
      <c r="F22" s="25">
        <f>IF(OR(D22="",E22=""),"",D22*E22)</f>
        <v/>
      </c>
      <c r="G22" s="22" t="n"/>
      <c r="H22" s="22" t="n"/>
      <c r="I22" s="24">
        <f>IF(OR(C22="",C21=""),"",C22-C21)</f>
        <v/>
      </c>
      <c r="J22" s="41">
        <f>IF(OR(I22="",D22="",D22=0,I22=0),"",I22/D22)</f>
        <v/>
      </c>
      <c r="K22" s="25">
        <f>IF(OR(F22="",I22="",I22=0),"",F22/I22)</f>
        <v/>
      </c>
      <c r="L22" s="22" t="n"/>
    </row>
    <row r="23" ht="22" customHeight="1">
      <c r="A23" s="27" t="n">
        <v>20</v>
      </c>
      <c r="B23" s="28" t="n"/>
      <c r="C23" s="29" t="n"/>
      <c r="D23" s="42" t="n"/>
      <c r="E23" s="30" t="n"/>
      <c r="F23" s="30">
        <f>IF(OR(D23="",E23=""),"",D23*E23)</f>
        <v/>
      </c>
      <c r="G23" s="27" t="n"/>
      <c r="H23" s="27" t="n"/>
      <c r="I23" s="29">
        <f>IF(OR(C23="",C22=""),"",C23-C22)</f>
        <v/>
      </c>
      <c r="J23" s="42">
        <f>IF(OR(I23="",D23="",D23=0,I23=0),"",I23/D23)</f>
        <v/>
      </c>
      <c r="K23" s="30">
        <f>IF(OR(F23="",I23="",I23=0),"",F23/I23)</f>
        <v/>
      </c>
      <c r="L23" s="27" t="n"/>
    </row>
    <row r="24" ht="22" customHeight="1">
      <c r="A24" s="22" t="n">
        <v>21</v>
      </c>
      <c r="B24" s="23" t="n"/>
      <c r="C24" s="24" t="n"/>
      <c r="D24" s="41" t="n"/>
      <c r="E24" s="25" t="n"/>
      <c r="F24" s="25">
        <f>IF(OR(D24="",E24=""),"",D24*E24)</f>
        <v/>
      </c>
      <c r="G24" s="22" t="n"/>
      <c r="H24" s="22" t="n"/>
      <c r="I24" s="24">
        <f>IF(OR(C24="",C23=""),"",C24-C23)</f>
        <v/>
      </c>
      <c r="J24" s="41">
        <f>IF(OR(I24="",D24="",D24=0,I24=0),"",I24/D24)</f>
        <v/>
      </c>
      <c r="K24" s="25">
        <f>IF(OR(F24="",I24="",I24=0),"",F24/I24)</f>
        <v/>
      </c>
      <c r="L24" s="22" t="n"/>
    </row>
    <row r="25" ht="22" customHeight="1">
      <c r="A25" s="27" t="n">
        <v>22</v>
      </c>
      <c r="B25" s="28" t="n"/>
      <c r="C25" s="29" t="n"/>
      <c r="D25" s="42" t="n"/>
      <c r="E25" s="30" t="n"/>
      <c r="F25" s="30">
        <f>IF(OR(D25="",E25=""),"",D25*E25)</f>
        <v/>
      </c>
      <c r="G25" s="27" t="n"/>
      <c r="H25" s="27" t="n"/>
      <c r="I25" s="29">
        <f>IF(OR(C25="",C24=""),"",C25-C24)</f>
        <v/>
      </c>
      <c r="J25" s="42">
        <f>IF(OR(I25="",D25="",D25=0,I25=0),"",I25/D25)</f>
        <v/>
      </c>
      <c r="K25" s="30">
        <f>IF(OR(F25="",I25="",I25=0),"",F25/I25)</f>
        <v/>
      </c>
      <c r="L25" s="27" t="n"/>
    </row>
    <row r="26" ht="22" customHeight="1">
      <c r="A26" s="22" t="n">
        <v>23</v>
      </c>
      <c r="B26" s="23" t="n"/>
      <c r="C26" s="24" t="n"/>
      <c r="D26" s="41" t="n"/>
      <c r="E26" s="25" t="n"/>
      <c r="F26" s="25">
        <f>IF(OR(D26="",E26=""),"",D26*E26)</f>
        <v/>
      </c>
      <c r="G26" s="22" t="n"/>
      <c r="H26" s="22" t="n"/>
      <c r="I26" s="24">
        <f>IF(OR(C26="",C25=""),"",C26-C25)</f>
        <v/>
      </c>
      <c r="J26" s="41">
        <f>IF(OR(I26="",D26="",D26=0,I26=0),"",I26/D26)</f>
        <v/>
      </c>
      <c r="K26" s="25">
        <f>IF(OR(F26="",I26="",I26=0),"",F26/I26)</f>
        <v/>
      </c>
      <c r="L26" s="22" t="n"/>
    </row>
    <row r="27" ht="22" customHeight="1">
      <c r="A27" s="27" t="n">
        <v>24</v>
      </c>
      <c r="B27" s="28" t="n"/>
      <c r="C27" s="29" t="n"/>
      <c r="D27" s="42" t="n"/>
      <c r="E27" s="30" t="n"/>
      <c r="F27" s="30">
        <f>IF(OR(D27="",E27=""),"",D27*E27)</f>
        <v/>
      </c>
      <c r="G27" s="27" t="n"/>
      <c r="H27" s="27" t="n"/>
      <c r="I27" s="29">
        <f>IF(OR(C27="",C26=""),"",C27-C26)</f>
        <v/>
      </c>
      <c r="J27" s="42">
        <f>IF(OR(I27="",D27="",D27=0,I27=0),"",I27/D27)</f>
        <v/>
      </c>
      <c r="K27" s="30">
        <f>IF(OR(F27="",I27="",I27=0),"",F27/I27)</f>
        <v/>
      </c>
      <c r="L27" s="27" t="n"/>
    </row>
    <row r="28" ht="22" customHeight="1">
      <c r="A28" s="22" t="n">
        <v>25</v>
      </c>
      <c r="B28" s="23" t="n"/>
      <c r="C28" s="24" t="n"/>
      <c r="D28" s="41" t="n"/>
      <c r="E28" s="25" t="n"/>
      <c r="F28" s="25">
        <f>IF(OR(D28="",E28=""),"",D28*E28)</f>
        <v/>
      </c>
      <c r="G28" s="22" t="n"/>
      <c r="H28" s="22" t="n"/>
      <c r="I28" s="24">
        <f>IF(OR(C28="",C27=""),"",C28-C27)</f>
        <v/>
      </c>
      <c r="J28" s="41">
        <f>IF(OR(I28="",D28="",D28=0,I28=0),"",I28/D28)</f>
        <v/>
      </c>
      <c r="K28" s="25">
        <f>IF(OR(F28="",I28="",I28=0),"",F28/I28)</f>
        <v/>
      </c>
      <c r="L28" s="22" t="n"/>
    </row>
    <row r="29" ht="22" customHeight="1">
      <c r="A29" s="27" t="n">
        <v>26</v>
      </c>
      <c r="B29" s="28" t="n"/>
      <c r="C29" s="29" t="n"/>
      <c r="D29" s="42" t="n"/>
      <c r="E29" s="30" t="n"/>
      <c r="F29" s="30">
        <f>IF(OR(D29="",E29=""),"",D29*E29)</f>
        <v/>
      </c>
      <c r="G29" s="27" t="n"/>
      <c r="H29" s="27" t="n"/>
      <c r="I29" s="29">
        <f>IF(OR(C29="",C28=""),"",C29-C28)</f>
        <v/>
      </c>
      <c r="J29" s="42">
        <f>IF(OR(I29="",D29="",D29=0,I29=0),"",I29/D29)</f>
        <v/>
      </c>
      <c r="K29" s="30">
        <f>IF(OR(F29="",I29="",I29=0),"",F29/I29)</f>
        <v/>
      </c>
      <c r="L29" s="27" t="n"/>
    </row>
    <row r="30" ht="22" customHeight="1">
      <c r="A30" s="22" t="n">
        <v>27</v>
      </c>
      <c r="B30" s="23" t="n"/>
      <c r="C30" s="24" t="n"/>
      <c r="D30" s="41" t="n"/>
      <c r="E30" s="25" t="n"/>
      <c r="F30" s="25">
        <f>IF(OR(D30="",E30=""),"",D30*E30)</f>
        <v/>
      </c>
      <c r="G30" s="22" t="n"/>
      <c r="H30" s="22" t="n"/>
      <c r="I30" s="24">
        <f>IF(OR(C30="",C29=""),"",C30-C29)</f>
        <v/>
      </c>
      <c r="J30" s="41">
        <f>IF(OR(I30="",D30="",D30=0,I30=0),"",I30/D30)</f>
        <v/>
      </c>
      <c r="K30" s="25">
        <f>IF(OR(F30="",I30="",I30=0),"",F30/I30)</f>
        <v/>
      </c>
      <c r="L30" s="22" t="n"/>
    </row>
    <row r="31" ht="22" customHeight="1">
      <c r="A31" s="27" t="n">
        <v>28</v>
      </c>
      <c r="B31" s="28" t="n"/>
      <c r="C31" s="29" t="n"/>
      <c r="D31" s="42" t="n"/>
      <c r="E31" s="30" t="n"/>
      <c r="F31" s="30">
        <f>IF(OR(D31="",E31=""),"",D31*E31)</f>
        <v/>
      </c>
      <c r="G31" s="27" t="n"/>
      <c r="H31" s="27" t="n"/>
      <c r="I31" s="29">
        <f>IF(OR(C31="",C30=""),"",C31-C30)</f>
        <v/>
      </c>
      <c r="J31" s="42">
        <f>IF(OR(I31="",D31="",D31=0,I31=0),"",I31/D31)</f>
        <v/>
      </c>
      <c r="K31" s="30">
        <f>IF(OR(F31="",I31="",I31=0),"",F31/I31)</f>
        <v/>
      </c>
      <c r="L31" s="27" t="n"/>
    </row>
    <row r="32" ht="22" customHeight="1">
      <c r="A32" s="22" t="n">
        <v>29</v>
      </c>
      <c r="B32" s="23" t="n"/>
      <c r="C32" s="24" t="n"/>
      <c r="D32" s="41" t="n"/>
      <c r="E32" s="25" t="n"/>
      <c r="F32" s="25">
        <f>IF(OR(D32="",E32=""),"",D32*E32)</f>
        <v/>
      </c>
      <c r="G32" s="22" t="n"/>
      <c r="H32" s="22" t="n"/>
      <c r="I32" s="24">
        <f>IF(OR(C32="",C31=""),"",C32-C31)</f>
        <v/>
      </c>
      <c r="J32" s="41">
        <f>IF(OR(I32="",D32="",D32=0,I32=0),"",I32/D32)</f>
        <v/>
      </c>
      <c r="K32" s="25">
        <f>IF(OR(F32="",I32="",I32=0),"",F32/I32)</f>
        <v/>
      </c>
      <c r="L32" s="22" t="n"/>
    </row>
    <row r="33" ht="22" customHeight="1">
      <c r="A33" s="27" t="n">
        <v>30</v>
      </c>
      <c r="B33" s="28" t="n"/>
      <c r="C33" s="29" t="n"/>
      <c r="D33" s="42" t="n"/>
      <c r="E33" s="30" t="n"/>
      <c r="F33" s="30">
        <f>IF(OR(D33="",E33=""),"",D33*E33)</f>
        <v/>
      </c>
      <c r="G33" s="27" t="n"/>
      <c r="H33" s="27" t="n"/>
      <c r="I33" s="29">
        <f>IF(OR(C33="",C32=""),"",C33-C32)</f>
        <v/>
      </c>
      <c r="J33" s="42">
        <f>IF(OR(I33="",D33="",D33=0,I33=0),"",I33/D33)</f>
        <v/>
      </c>
      <c r="K33" s="30">
        <f>IF(OR(F33="",I33="",I33=0),"",F33/I33)</f>
        <v/>
      </c>
      <c r="L33" s="27" t="n"/>
    </row>
    <row r="34" ht="22" customHeight="1">
      <c r="A34" s="22" t="n">
        <v>31</v>
      </c>
      <c r="B34" s="23" t="n"/>
      <c r="C34" s="24" t="n"/>
      <c r="D34" s="41" t="n"/>
      <c r="E34" s="25" t="n"/>
      <c r="F34" s="25">
        <f>IF(OR(D34="",E34=""),"",D34*E34)</f>
        <v/>
      </c>
      <c r="G34" s="22" t="n"/>
      <c r="H34" s="22" t="n"/>
      <c r="I34" s="24">
        <f>IF(OR(C34="",C33=""),"",C34-C33)</f>
        <v/>
      </c>
      <c r="J34" s="41">
        <f>IF(OR(I34="",D34="",D34=0,I34=0),"",I34/D34)</f>
        <v/>
      </c>
      <c r="K34" s="25">
        <f>IF(OR(F34="",I34="",I34=0),"",F34/I34)</f>
        <v/>
      </c>
      <c r="L34" s="22" t="n"/>
    </row>
    <row r="35" ht="22" customHeight="1">
      <c r="A35" s="27" t="n">
        <v>32</v>
      </c>
      <c r="B35" s="28" t="n"/>
      <c r="C35" s="29" t="n"/>
      <c r="D35" s="42" t="n"/>
      <c r="E35" s="30" t="n"/>
      <c r="F35" s="30">
        <f>IF(OR(D35="",E35=""),"",D35*E35)</f>
        <v/>
      </c>
      <c r="G35" s="27" t="n"/>
      <c r="H35" s="27" t="n"/>
      <c r="I35" s="29">
        <f>IF(OR(C35="",C34=""),"",C35-C34)</f>
        <v/>
      </c>
      <c r="J35" s="42">
        <f>IF(OR(I35="",D35="",D35=0,I35=0),"",I35/D35)</f>
        <v/>
      </c>
      <c r="K35" s="30">
        <f>IF(OR(F35="",I35="",I35=0),"",F35/I35)</f>
        <v/>
      </c>
      <c r="L35" s="27" t="n"/>
    </row>
    <row r="36" ht="22" customHeight="1">
      <c r="A36" s="22" t="n">
        <v>33</v>
      </c>
      <c r="B36" s="23" t="n"/>
      <c r="C36" s="24" t="n"/>
      <c r="D36" s="41" t="n"/>
      <c r="E36" s="25" t="n"/>
      <c r="F36" s="25">
        <f>IF(OR(D36="",E36=""),"",D36*E36)</f>
        <v/>
      </c>
      <c r="G36" s="22" t="n"/>
      <c r="H36" s="22" t="n"/>
      <c r="I36" s="24">
        <f>IF(OR(C36="",C35=""),"",C36-C35)</f>
        <v/>
      </c>
      <c r="J36" s="41">
        <f>IF(OR(I36="",D36="",D36=0,I36=0),"",I36/D36)</f>
        <v/>
      </c>
      <c r="K36" s="25">
        <f>IF(OR(F36="",I36="",I36=0),"",F36/I36)</f>
        <v/>
      </c>
      <c r="L36" s="22" t="n"/>
    </row>
    <row r="37" ht="22" customHeight="1">
      <c r="A37" s="27" t="n">
        <v>34</v>
      </c>
      <c r="B37" s="28" t="n"/>
      <c r="C37" s="29" t="n"/>
      <c r="D37" s="42" t="n"/>
      <c r="E37" s="30" t="n"/>
      <c r="F37" s="30">
        <f>IF(OR(D37="",E37=""),"",D37*E37)</f>
        <v/>
      </c>
      <c r="G37" s="27" t="n"/>
      <c r="H37" s="27" t="n"/>
      <c r="I37" s="29">
        <f>IF(OR(C37="",C36=""),"",C37-C36)</f>
        <v/>
      </c>
      <c r="J37" s="42">
        <f>IF(OR(I37="",D37="",D37=0,I37=0),"",I37/D37)</f>
        <v/>
      </c>
      <c r="K37" s="30">
        <f>IF(OR(F37="",I37="",I37=0),"",F37/I37)</f>
        <v/>
      </c>
      <c r="L37" s="27" t="n"/>
    </row>
    <row r="38" ht="22" customHeight="1">
      <c r="A38" s="22" t="n">
        <v>35</v>
      </c>
      <c r="B38" s="23" t="n"/>
      <c r="C38" s="24" t="n"/>
      <c r="D38" s="41" t="n"/>
      <c r="E38" s="25" t="n"/>
      <c r="F38" s="25">
        <f>IF(OR(D38="",E38=""),"",D38*E38)</f>
        <v/>
      </c>
      <c r="G38" s="22" t="n"/>
      <c r="H38" s="22" t="n"/>
      <c r="I38" s="24">
        <f>IF(OR(C38="",C37=""),"",C38-C37)</f>
        <v/>
      </c>
      <c r="J38" s="41">
        <f>IF(OR(I38="",D38="",D38=0,I38=0),"",I38/D38)</f>
        <v/>
      </c>
      <c r="K38" s="25">
        <f>IF(OR(F38="",I38="",I38=0),"",F38/I38)</f>
        <v/>
      </c>
      <c r="L38" s="22" t="n"/>
    </row>
    <row r="39" ht="22" customHeight="1">
      <c r="A39" s="27" t="n">
        <v>36</v>
      </c>
      <c r="B39" s="28" t="n"/>
      <c r="C39" s="29" t="n"/>
      <c r="D39" s="42" t="n"/>
      <c r="E39" s="30" t="n"/>
      <c r="F39" s="30">
        <f>IF(OR(D39="",E39=""),"",D39*E39)</f>
        <v/>
      </c>
      <c r="G39" s="27" t="n"/>
      <c r="H39" s="27" t="n"/>
      <c r="I39" s="29">
        <f>IF(OR(C39="",C38=""),"",C39-C38)</f>
        <v/>
      </c>
      <c r="J39" s="42">
        <f>IF(OR(I39="",D39="",D39=0,I39=0),"",I39/D39)</f>
        <v/>
      </c>
      <c r="K39" s="30">
        <f>IF(OR(F39="",I39="",I39=0),"",F39/I39)</f>
        <v/>
      </c>
      <c r="L39" s="27" t="n"/>
    </row>
    <row r="40" ht="22" customHeight="1">
      <c r="A40" s="22" t="n">
        <v>37</v>
      </c>
      <c r="B40" s="23" t="n"/>
      <c r="C40" s="24" t="n"/>
      <c r="D40" s="41" t="n"/>
      <c r="E40" s="25" t="n"/>
      <c r="F40" s="25">
        <f>IF(OR(D40="",E40=""),"",D40*E40)</f>
        <v/>
      </c>
      <c r="G40" s="22" t="n"/>
      <c r="H40" s="22" t="n"/>
      <c r="I40" s="24">
        <f>IF(OR(C40="",C39=""),"",C40-C39)</f>
        <v/>
      </c>
      <c r="J40" s="41">
        <f>IF(OR(I40="",D40="",D40=0,I40=0),"",I40/D40)</f>
        <v/>
      </c>
      <c r="K40" s="25">
        <f>IF(OR(F40="",I40="",I40=0),"",F40/I40)</f>
        <v/>
      </c>
      <c r="L40" s="22" t="n"/>
    </row>
    <row r="41" ht="22" customHeight="1">
      <c r="A41" s="27" t="n">
        <v>38</v>
      </c>
      <c r="B41" s="28" t="n"/>
      <c r="C41" s="29" t="n"/>
      <c r="D41" s="42" t="n"/>
      <c r="E41" s="30" t="n"/>
      <c r="F41" s="30">
        <f>IF(OR(D41="",E41=""),"",D41*E41)</f>
        <v/>
      </c>
      <c r="G41" s="27" t="n"/>
      <c r="H41" s="27" t="n"/>
      <c r="I41" s="29">
        <f>IF(OR(C41="",C40=""),"",C41-C40)</f>
        <v/>
      </c>
      <c r="J41" s="42">
        <f>IF(OR(I41="",D41="",D41=0,I41=0),"",I41/D41)</f>
        <v/>
      </c>
      <c r="K41" s="30">
        <f>IF(OR(F41="",I41="",I41=0),"",F41/I41)</f>
        <v/>
      </c>
      <c r="L41" s="27" t="n"/>
    </row>
    <row r="42" ht="22" customHeight="1">
      <c r="A42" s="22" t="n">
        <v>39</v>
      </c>
      <c r="B42" s="23" t="n"/>
      <c r="C42" s="24" t="n"/>
      <c r="D42" s="41" t="n"/>
      <c r="E42" s="25" t="n"/>
      <c r="F42" s="25">
        <f>IF(OR(D42="",E42=""),"",D42*E42)</f>
        <v/>
      </c>
      <c r="G42" s="22" t="n"/>
      <c r="H42" s="22" t="n"/>
      <c r="I42" s="24">
        <f>IF(OR(C42="",C41=""),"",C42-C41)</f>
        <v/>
      </c>
      <c r="J42" s="41">
        <f>IF(OR(I42="",D42="",D42=0,I42=0),"",I42/D42)</f>
        <v/>
      </c>
      <c r="K42" s="25">
        <f>IF(OR(F42="",I42="",I42=0),"",F42/I42)</f>
        <v/>
      </c>
      <c r="L42" s="22" t="n"/>
    </row>
    <row r="43" ht="22" customHeight="1">
      <c r="A43" s="27" t="n">
        <v>40</v>
      </c>
      <c r="B43" s="28" t="n"/>
      <c r="C43" s="29" t="n"/>
      <c r="D43" s="42" t="n"/>
      <c r="E43" s="30" t="n"/>
      <c r="F43" s="30">
        <f>IF(OR(D43="",E43=""),"",D43*E43)</f>
        <v/>
      </c>
      <c r="G43" s="27" t="n"/>
      <c r="H43" s="27" t="n"/>
      <c r="I43" s="29">
        <f>IF(OR(C43="",C42=""),"",C43-C42)</f>
        <v/>
      </c>
      <c r="J43" s="42">
        <f>IF(OR(I43="",D43="",D43=0,I43=0),"",I43/D43)</f>
        <v/>
      </c>
      <c r="K43" s="30">
        <f>IF(OR(F43="",I43="",I43=0),"",F43/I43)</f>
        <v/>
      </c>
      <c r="L43" s="27" t="n"/>
    </row>
    <row r="44" ht="22" customHeight="1">
      <c r="A44" s="22" t="n">
        <v>41</v>
      </c>
      <c r="B44" s="23" t="n"/>
      <c r="C44" s="24" t="n"/>
      <c r="D44" s="41" t="n"/>
      <c r="E44" s="25" t="n"/>
      <c r="F44" s="25">
        <f>IF(OR(D44="",E44=""),"",D44*E44)</f>
        <v/>
      </c>
      <c r="G44" s="22" t="n"/>
      <c r="H44" s="22" t="n"/>
      <c r="I44" s="24">
        <f>IF(OR(C44="",C43=""),"",C44-C43)</f>
        <v/>
      </c>
      <c r="J44" s="41">
        <f>IF(OR(I44="",D44="",D44=0,I44=0),"",I44/D44)</f>
        <v/>
      </c>
      <c r="K44" s="25">
        <f>IF(OR(F44="",I44="",I44=0),"",F44/I44)</f>
        <v/>
      </c>
      <c r="L44" s="22" t="n"/>
    </row>
    <row r="45" ht="22" customHeight="1">
      <c r="A45" s="27" t="n">
        <v>42</v>
      </c>
      <c r="B45" s="28" t="n"/>
      <c r="C45" s="29" t="n"/>
      <c r="D45" s="42" t="n"/>
      <c r="E45" s="30" t="n"/>
      <c r="F45" s="30">
        <f>IF(OR(D45="",E45=""),"",D45*E45)</f>
        <v/>
      </c>
      <c r="G45" s="27" t="n"/>
      <c r="H45" s="27" t="n"/>
      <c r="I45" s="29">
        <f>IF(OR(C45="",C44=""),"",C45-C44)</f>
        <v/>
      </c>
      <c r="J45" s="42">
        <f>IF(OR(I45="",D45="",D45=0,I45=0),"",I45/D45)</f>
        <v/>
      </c>
      <c r="K45" s="30">
        <f>IF(OR(F45="",I45="",I45=0),"",F45/I45)</f>
        <v/>
      </c>
      <c r="L45" s="27" t="n"/>
    </row>
    <row r="46" ht="22" customHeight="1">
      <c r="A46" s="22" t="n">
        <v>43</v>
      </c>
      <c r="B46" s="23" t="n"/>
      <c r="C46" s="24" t="n"/>
      <c r="D46" s="41" t="n"/>
      <c r="E46" s="25" t="n"/>
      <c r="F46" s="25">
        <f>IF(OR(D46="",E46=""),"",D46*E46)</f>
        <v/>
      </c>
      <c r="G46" s="22" t="n"/>
      <c r="H46" s="22" t="n"/>
      <c r="I46" s="24">
        <f>IF(OR(C46="",C45=""),"",C46-C45)</f>
        <v/>
      </c>
      <c r="J46" s="41">
        <f>IF(OR(I46="",D46="",D46=0,I46=0),"",I46/D46)</f>
        <v/>
      </c>
      <c r="K46" s="25">
        <f>IF(OR(F46="",I46="",I46=0),"",F46/I46)</f>
        <v/>
      </c>
      <c r="L46" s="22" t="n"/>
    </row>
    <row r="47" ht="22" customHeight="1">
      <c r="A47" s="27" t="n">
        <v>44</v>
      </c>
      <c r="B47" s="28" t="n"/>
      <c r="C47" s="29" t="n"/>
      <c r="D47" s="42" t="n"/>
      <c r="E47" s="30" t="n"/>
      <c r="F47" s="30">
        <f>IF(OR(D47="",E47=""),"",D47*E47)</f>
        <v/>
      </c>
      <c r="G47" s="27" t="n"/>
      <c r="H47" s="27" t="n"/>
      <c r="I47" s="29">
        <f>IF(OR(C47="",C46=""),"",C47-C46)</f>
        <v/>
      </c>
      <c r="J47" s="42">
        <f>IF(OR(I47="",D47="",D47=0,I47=0),"",I47/D47)</f>
        <v/>
      </c>
      <c r="K47" s="30">
        <f>IF(OR(F47="",I47="",I47=0),"",F47/I47)</f>
        <v/>
      </c>
      <c r="L47" s="27" t="n"/>
    </row>
    <row r="48" ht="22" customHeight="1">
      <c r="A48" s="22" t="n">
        <v>45</v>
      </c>
      <c r="B48" s="23" t="n"/>
      <c r="C48" s="24" t="n"/>
      <c r="D48" s="41" t="n"/>
      <c r="E48" s="25" t="n"/>
      <c r="F48" s="25">
        <f>IF(OR(D48="",E48=""),"",D48*E48)</f>
        <v/>
      </c>
      <c r="G48" s="22" t="n"/>
      <c r="H48" s="22" t="n"/>
      <c r="I48" s="24">
        <f>IF(OR(C48="",C47=""),"",C48-C47)</f>
        <v/>
      </c>
      <c r="J48" s="41">
        <f>IF(OR(I48="",D48="",D48=0,I48=0),"",I48/D48)</f>
        <v/>
      </c>
      <c r="K48" s="25">
        <f>IF(OR(F48="",I48="",I48=0),"",F48/I48)</f>
        <v/>
      </c>
      <c r="L48" s="22" t="n"/>
    </row>
    <row r="49" ht="22" customHeight="1">
      <c r="A49" s="27" t="n">
        <v>46</v>
      </c>
      <c r="B49" s="28" t="n"/>
      <c r="C49" s="29" t="n"/>
      <c r="D49" s="42" t="n"/>
      <c r="E49" s="30" t="n"/>
      <c r="F49" s="30">
        <f>IF(OR(D49="",E49=""),"",D49*E49)</f>
        <v/>
      </c>
      <c r="G49" s="27" t="n"/>
      <c r="H49" s="27" t="n"/>
      <c r="I49" s="29">
        <f>IF(OR(C49="",C48=""),"",C49-C48)</f>
        <v/>
      </c>
      <c r="J49" s="42">
        <f>IF(OR(I49="",D49="",D49=0,I49=0),"",I49/D49)</f>
        <v/>
      </c>
      <c r="K49" s="30">
        <f>IF(OR(F49="",I49="",I49=0),"",F49/I49)</f>
        <v/>
      </c>
      <c r="L49" s="27" t="n"/>
    </row>
    <row r="50" ht="22" customHeight="1">
      <c r="A50" s="22" t="n">
        <v>47</v>
      </c>
      <c r="B50" s="23" t="n"/>
      <c r="C50" s="24" t="n"/>
      <c r="D50" s="41" t="n"/>
      <c r="E50" s="25" t="n"/>
      <c r="F50" s="25">
        <f>IF(OR(D50="",E50=""),"",D50*E50)</f>
        <v/>
      </c>
      <c r="G50" s="22" t="n"/>
      <c r="H50" s="22" t="n"/>
      <c r="I50" s="24">
        <f>IF(OR(C50="",C49=""),"",C50-C49)</f>
        <v/>
      </c>
      <c r="J50" s="41">
        <f>IF(OR(I50="",D50="",D50=0,I50=0),"",I50/D50)</f>
        <v/>
      </c>
      <c r="K50" s="25">
        <f>IF(OR(F50="",I50="",I50=0),"",F50/I50)</f>
        <v/>
      </c>
      <c r="L50" s="22" t="n"/>
    </row>
    <row r="51" ht="22" customHeight="1">
      <c r="A51" s="27" t="n">
        <v>48</v>
      </c>
      <c r="B51" s="28" t="n"/>
      <c r="C51" s="29" t="n"/>
      <c r="D51" s="42" t="n"/>
      <c r="E51" s="30" t="n"/>
      <c r="F51" s="30">
        <f>IF(OR(D51="",E51=""),"",D51*E51)</f>
        <v/>
      </c>
      <c r="G51" s="27" t="n"/>
      <c r="H51" s="27" t="n"/>
      <c r="I51" s="29">
        <f>IF(OR(C51="",C50=""),"",C51-C50)</f>
        <v/>
      </c>
      <c r="J51" s="42">
        <f>IF(OR(I51="",D51="",D51=0,I51=0),"",I51/D51)</f>
        <v/>
      </c>
      <c r="K51" s="30">
        <f>IF(OR(F51="",I51="",I51=0),"",F51/I51)</f>
        <v/>
      </c>
      <c r="L51" s="27" t="n"/>
    </row>
    <row r="52" ht="22" customHeight="1">
      <c r="A52" s="22" t="n">
        <v>49</v>
      </c>
      <c r="B52" s="23" t="n"/>
      <c r="C52" s="24" t="n"/>
      <c r="D52" s="41" t="n"/>
      <c r="E52" s="25" t="n"/>
      <c r="F52" s="25">
        <f>IF(OR(D52="",E52=""),"",D52*E52)</f>
        <v/>
      </c>
      <c r="G52" s="22" t="n"/>
      <c r="H52" s="22" t="n"/>
      <c r="I52" s="24">
        <f>IF(OR(C52="",C51=""),"",C52-C51)</f>
        <v/>
      </c>
      <c r="J52" s="41">
        <f>IF(OR(I52="",D52="",D52=0,I52=0),"",I52/D52)</f>
        <v/>
      </c>
      <c r="K52" s="25">
        <f>IF(OR(F52="",I52="",I52=0),"",F52/I52)</f>
        <v/>
      </c>
      <c r="L52" s="22" t="n"/>
    </row>
    <row r="53" ht="22" customHeight="1">
      <c r="A53" s="27" t="n">
        <v>50</v>
      </c>
      <c r="B53" s="28" t="n"/>
      <c r="C53" s="29" t="n"/>
      <c r="D53" s="42" t="n"/>
      <c r="E53" s="30" t="n"/>
      <c r="F53" s="30">
        <f>IF(OR(D53="",E53=""),"",D53*E53)</f>
        <v/>
      </c>
      <c r="G53" s="27" t="n"/>
      <c r="H53" s="27" t="n"/>
      <c r="I53" s="29">
        <f>IF(OR(C53="",C52=""),"",C53-C52)</f>
        <v/>
      </c>
      <c r="J53" s="42">
        <f>IF(OR(I53="",D53="",D53=0,I53=0),"",I53/D53)</f>
        <v/>
      </c>
      <c r="K53" s="30">
        <f>IF(OR(F53="",I53="",I53=0),"",F53/I53)</f>
        <v/>
      </c>
      <c r="L53" s="27" t="n"/>
    </row>
    <row r="54" ht="22" customHeight="1">
      <c r="A54" s="22" t="n">
        <v>51</v>
      </c>
      <c r="B54" s="23" t="n"/>
      <c r="C54" s="24" t="n"/>
      <c r="D54" s="41" t="n"/>
      <c r="E54" s="25" t="n"/>
      <c r="F54" s="25">
        <f>IF(OR(D54="",E54=""),"",D54*E54)</f>
        <v/>
      </c>
      <c r="G54" s="22" t="n"/>
      <c r="H54" s="22" t="n"/>
      <c r="I54" s="24">
        <f>IF(OR(C54="",C53=""),"",C54-C53)</f>
        <v/>
      </c>
      <c r="J54" s="41">
        <f>IF(OR(I54="",D54="",D54=0,I54=0),"",I54/D54)</f>
        <v/>
      </c>
      <c r="K54" s="25">
        <f>IF(OR(F54="",I54="",I54=0),"",F54/I54)</f>
        <v/>
      </c>
      <c r="L54" s="22" t="n"/>
    </row>
    <row r="55" ht="22" customHeight="1">
      <c r="A55" s="27" t="n">
        <v>52</v>
      </c>
      <c r="B55" s="28" t="n"/>
      <c r="C55" s="29" t="n"/>
      <c r="D55" s="42" t="n"/>
      <c r="E55" s="30" t="n"/>
      <c r="F55" s="30">
        <f>IF(OR(D55="",E55=""),"",D55*E55)</f>
        <v/>
      </c>
      <c r="G55" s="27" t="n"/>
      <c r="H55" s="27" t="n"/>
      <c r="I55" s="29">
        <f>IF(OR(C55="",C54=""),"",C55-C54)</f>
        <v/>
      </c>
      <c r="J55" s="42">
        <f>IF(OR(I55="",D55="",D55=0,I55=0),"",I55/D55)</f>
        <v/>
      </c>
      <c r="K55" s="30">
        <f>IF(OR(F55="",I55="",I55=0),"",F55/I55)</f>
        <v/>
      </c>
      <c r="L55" s="27" t="n"/>
    </row>
    <row r="56" ht="22" customHeight="1">
      <c r="A56" s="22" t="n">
        <v>53</v>
      </c>
      <c r="B56" s="23" t="n"/>
      <c r="C56" s="24" t="n"/>
      <c r="D56" s="41" t="n"/>
      <c r="E56" s="25" t="n"/>
      <c r="F56" s="25">
        <f>IF(OR(D56="",E56=""),"",D56*E56)</f>
        <v/>
      </c>
      <c r="G56" s="22" t="n"/>
      <c r="H56" s="22" t="n"/>
      <c r="I56" s="24">
        <f>IF(OR(C56="",C55=""),"",C56-C55)</f>
        <v/>
      </c>
      <c r="J56" s="41">
        <f>IF(OR(I56="",D56="",D56=0,I56=0),"",I56/D56)</f>
        <v/>
      </c>
      <c r="K56" s="25">
        <f>IF(OR(F56="",I56="",I56=0),"",F56/I56)</f>
        <v/>
      </c>
      <c r="L56" s="22" t="n"/>
    </row>
    <row r="57" ht="22" customHeight="1">
      <c r="A57" s="27" t="n">
        <v>54</v>
      </c>
      <c r="B57" s="28" t="n"/>
      <c r="C57" s="29" t="n"/>
      <c r="D57" s="42" t="n"/>
      <c r="E57" s="30" t="n"/>
      <c r="F57" s="30">
        <f>IF(OR(D57="",E57=""),"",D57*E57)</f>
        <v/>
      </c>
      <c r="G57" s="27" t="n"/>
      <c r="H57" s="27" t="n"/>
      <c r="I57" s="29">
        <f>IF(OR(C57="",C56=""),"",C57-C56)</f>
        <v/>
      </c>
      <c r="J57" s="42">
        <f>IF(OR(I57="",D57="",D57=0,I57=0),"",I57/D57)</f>
        <v/>
      </c>
      <c r="K57" s="30">
        <f>IF(OR(F57="",I57="",I57=0),"",F57/I57)</f>
        <v/>
      </c>
      <c r="L57" s="27" t="n"/>
    </row>
    <row r="58" ht="22" customHeight="1">
      <c r="A58" s="22" t="n">
        <v>55</v>
      </c>
      <c r="B58" s="23" t="n"/>
      <c r="C58" s="24" t="n"/>
      <c r="D58" s="41" t="n"/>
      <c r="E58" s="25" t="n"/>
      <c r="F58" s="25">
        <f>IF(OR(D58="",E58=""),"",D58*E58)</f>
        <v/>
      </c>
      <c r="G58" s="22" t="n"/>
      <c r="H58" s="22" t="n"/>
      <c r="I58" s="24">
        <f>IF(OR(C58="",C57=""),"",C58-C57)</f>
        <v/>
      </c>
      <c r="J58" s="41">
        <f>IF(OR(I58="",D58="",D58=0,I58=0),"",I58/D58)</f>
        <v/>
      </c>
      <c r="K58" s="25">
        <f>IF(OR(F58="",I58="",I58=0),"",F58/I58)</f>
        <v/>
      </c>
      <c r="L58" s="22" t="n"/>
    </row>
    <row r="59" ht="22" customHeight="1">
      <c r="A59" s="27" t="n">
        <v>56</v>
      </c>
      <c r="B59" s="28" t="n"/>
      <c r="C59" s="29" t="n"/>
      <c r="D59" s="42" t="n"/>
      <c r="E59" s="30" t="n"/>
      <c r="F59" s="30">
        <f>IF(OR(D59="",E59=""),"",D59*E59)</f>
        <v/>
      </c>
      <c r="G59" s="27" t="n"/>
      <c r="H59" s="27" t="n"/>
      <c r="I59" s="29">
        <f>IF(OR(C59="",C58=""),"",C59-C58)</f>
        <v/>
      </c>
      <c r="J59" s="42">
        <f>IF(OR(I59="",D59="",D59=0,I59=0),"",I59/D59)</f>
        <v/>
      </c>
      <c r="K59" s="30">
        <f>IF(OR(F59="",I59="",I59=0),"",F59/I59)</f>
        <v/>
      </c>
      <c r="L59" s="27" t="n"/>
    </row>
    <row r="60" ht="22" customHeight="1">
      <c r="A60" s="22" t="n">
        <v>57</v>
      </c>
      <c r="B60" s="23" t="n"/>
      <c r="C60" s="24" t="n"/>
      <c r="D60" s="41" t="n"/>
      <c r="E60" s="25" t="n"/>
      <c r="F60" s="25">
        <f>IF(OR(D60="",E60=""),"",D60*E60)</f>
        <v/>
      </c>
      <c r="G60" s="22" t="n"/>
      <c r="H60" s="22" t="n"/>
      <c r="I60" s="24">
        <f>IF(OR(C60="",C59=""),"",C60-C59)</f>
        <v/>
      </c>
      <c r="J60" s="41">
        <f>IF(OR(I60="",D60="",D60=0,I60=0),"",I60/D60)</f>
        <v/>
      </c>
      <c r="K60" s="25">
        <f>IF(OR(F60="",I60="",I60=0),"",F60/I60)</f>
        <v/>
      </c>
      <c r="L60" s="22" t="n"/>
    </row>
    <row r="61" ht="22" customHeight="1">
      <c r="A61" s="27" t="n">
        <v>58</v>
      </c>
      <c r="B61" s="28" t="n"/>
      <c r="C61" s="29" t="n"/>
      <c r="D61" s="42" t="n"/>
      <c r="E61" s="30" t="n"/>
      <c r="F61" s="30">
        <f>IF(OR(D61="",E61=""),"",D61*E61)</f>
        <v/>
      </c>
      <c r="G61" s="27" t="n"/>
      <c r="H61" s="27" t="n"/>
      <c r="I61" s="29">
        <f>IF(OR(C61="",C60=""),"",C61-C60)</f>
        <v/>
      </c>
      <c r="J61" s="42">
        <f>IF(OR(I61="",D61="",D61=0,I61=0),"",I61/D61)</f>
        <v/>
      </c>
      <c r="K61" s="30">
        <f>IF(OR(F61="",I61="",I61=0),"",F61/I61)</f>
        <v/>
      </c>
      <c r="L61" s="27" t="n"/>
    </row>
    <row r="62" ht="22" customHeight="1">
      <c r="A62" s="22" t="n">
        <v>59</v>
      </c>
      <c r="B62" s="23" t="n"/>
      <c r="C62" s="24" t="n"/>
      <c r="D62" s="41" t="n"/>
      <c r="E62" s="25" t="n"/>
      <c r="F62" s="25">
        <f>IF(OR(D62="",E62=""),"",D62*E62)</f>
        <v/>
      </c>
      <c r="G62" s="22" t="n"/>
      <c r="H62" s="22" t="n"/>
      <c r="I62" s="24">
        <f>IF(OR(C62="",C61=""),"",C62-C61)</f>
        <v/>
      </c>
      <c r="J62" s="41">
        <f>IF(OR(I62="",D62="",D62=0,I62=0),"",I62/D62)</f>
        <v/>
      </c>
      <c r="K62" s="25">
        <f>IF(OR(F62="",I62="",I62=0),"",F62/I62)</f>
        <v/>
      </c>
      <c r="L62" s="22" t="n"/>
    </row>
    <row r="63" ht="22" customHeight="1">
      <c r="A63" s="27" t="n">
        <v>60</v>
      </c>
      <c r="B63" s="28" t="n"/>
      <c r="C63" s="29" t="n"/>
      <c r="D63" s="42" t="n"/>
      <c r="E63" s="30" t="n"/>
      <c r="F63" s="30">
        <f>IF(OR(D63="",E63=""),"",D63*E63)</f>
        <v/>
      </c>
      <c r="G63" s="27" t="n"/>
      <c r="H63" s="27" t="n"/>
      <c r="I63" s="29">
        <f>IF(OR(C63="",C62=""),"",C63-C62)</f>
        <v/>
      </c>
      <c r="J63" s="42">
        <f>IF(OR(I63="",D63="",D63=0,I63=0),"",I63/D63)</f>
        <v/>
      </c>
      <c r="K63" s="30">
        <f>IF(OR(F63="",I63="",I63=0),"",F63/I63)</f>
        <v/>
      </c>
      <c r="L63" s="27" t="n"/>
    </row>
    <row r="64" ht="22" customHeight="1">
      <c r="A64" s="22" t="n">
        <v>61</v>
      </c>
      <c r="B64" s="23" t="n"/>
      <c r="C64" s="24" t="n"/>
      <c r="D64" s="41" t="n"/>
      <c r="E64" s="25" t="n"/>
      <c r="F64" s="25">
        <f>IF(OR(D64="",E64=""),"",D64*E64)</f>
        <v/>
      </c>
      <c r="G64" s="22" t="n"/>
      <c r="H64" s="22" t="n"/>
      <c r="I64" s="24">
        <f>IF(OR(C64="",C63=""),"",C64-C63)</f>
        <v/>
      </c>
      <c r="J64" s="41">
        <f>IF(OR(I64="",D64="",D64=0,I64=0),"",I64/D64)</f>
        <v/>
      </c>
      <c r="K64" s="25">
        <f>IF(OR(F64="",I64="",I64=0),"",F64/I64)</f>
        <v/>
      </c>
      <c r="L64" s="22" t="n"/>
    </row>
    <row r="65" ht="22" customHeight="1">
      <c r="A65" s="27" t="n">
        <v>62</v>
      </c>
      <c r="B65" s="28" t="n"/>
      <c r="C65" s="29" t="n"/>
      <c r="D65" s="42" t="n"/>
      <c r="E65" s="30" t="n"/>
      <c r="F65" s="30">
        <f>IF(OR(D65="",E65=""),"",D65*E65)</f>
        <v/>
      </c>
      <c r="G65" s="27" t="n"/>
      <c r="H65" s="27" t="n"/>
      <c r="I65" s="29">
        <f>IF(OR(C65="",C64=""),"",C65-C64)</f>
        <v/>
      </c>
      <c r="J65" s="42">
        <f>IF(OR(I65="",D65="",D65=0,I65=0),"",I65/D65)</f>
        <v/>
      </c>
      <c r="K65" s="30">
        <f>IF(OR(F65="",I65="",I65=0),"",F65/I65)</f>
        <v/>
      </c>
      <c r="L65" s="27" t="n"/>
    </row>
    <row r="66" ht="22" customHeight="1">
      <c r="A66" s="22" t="n">
        <v>63</v>
      </c>
      <c r="B66" s="23" t="n"/>
      <c r="C66" s="24" t="n"/>
      <c r="D66" s="41" t="n"/>
      <c r="E66" s="25" t="n"/>
      <c r="F66" s="25">
        <f>IF(OR(D66="",E66=""),"",D66*E66)</f>
        <v/>
      </c>
      <c r="G66" s="22" t="n"/>
      <c r="H66" s="22" t="n"/>
      <c r="I66" s="24">
        <f>IF(OR(C66="",C65=""),"",C66-C65)</f>
        <v/>
      </c>
      <c r="J66" s="41">
        <f>IF(OR(I66="",D66="",D66=0,I66=0),"",I66/D66)</f>
        <v/>
      </c>
      <c r="K66" s="25">
        <f>IF(OR(F66="",I66="",I66=0),"",F66/I66)</f>
        <v/>
      </c>
      <c r="L66" s="22" t="n"/>
    </row>
    <row r="67" ht="22" customHeight="1">
      <c r="A67" s="27" t="n">
        <v>64</v>
      </c>
      <c r="B67" s="28" t="n"/>
      <c r="C67" s="29" t="n"/>
      <c r="D67" s="42" t="n"/>
      <c r="E67" s="30" t="n"/>
      <c r="F67" s="30">
        <f>IF(OR(D67="",E67=""),"",D67*E67)</f>
        <v/>
      </c>
      <c r="G67" s="27" t="n"/>
      <c r="H67" s="27" t="n"/>
      <c r="I67" s="29">
        <f>IF(OR(C67="",C66=""),"",C67-C66)</f>
        <v/>
      </c>
      <c r="J67" s="42">
        <f>IF(OR(I67="",D67="",D67=0,I67=0),"",I67/D67)</f>
        <v/>
      </c>
      <c r="K67" s="30">
        <f>IF(OR(F67="",I67="",I67=0),"",F67/I67)</f>
        <v/>
      </c>
      <c r="L67" s="27" t="n"/>
    </row>
    <row r="68" ht="22" customHeight="1">
      <c r="A68" s="22" t="n">
        <v>65</v>
      </c>
      <c r="B68" s="23" t="n"/>
      <c r="C68" s="24" t="n"/>
      <c r="D68" s="41" t="n"/>
      <c r="E68" s="25" t="n"/>
      <c r="F68" s="25">
        <f>IF(OR(D68="",E68=""),"",D68*E68)</f>
        <v/>
      </c>
      <c r="G68" s="22" t="n"/>
      <c r="H68" s="22" t="n"/>
      <c r="I68" s="24">
        <f>IF(OR(C68="",C67=""),"",C68-C67)</f>
        <v/>
      </c>
      <c r="J68" s="41">
        <f>IF(OR(I68="",D68="",D68=0,I68=0),"",I68/D68)</f>
        <v/>
      </c>
      <c r="K68" s="25">
        <f>IF(OR(F68="",I68="",I68=0),"",F68/I68)</f>
        <v/>
      </c>
      <c r="L68" s="22" t="n"/>
    </row>
    <row r="69" ht="22" customHeight="1">
      <c r="A69" s="27" t="n">
        <v>66</v>
      </c>
      <c r="B69" s="28" t="n"/>
      <c r="C69" s="29" t="n"/>
      <c r="D69" s="42" t="n"/>
      <c r="E69" s="30" t="n"/>
      <c r="F69" s="30">
        <f>IF(OR(D69="",E69=""),"",D69*E69)</f>
        <v/>
      </c>
      <c r="G69" s="27" t="n"/>
      <c r="H69" s="27" t="n"/>
      <c r="I69" s="29">
        <f>IF(OR(C69="",C68=""),"",C69-C68)</f>
        <v/>
      </c>
      <c r="J69" s="42">
        <f>IF(OR(I69="",D69="",D69=0,I69=0),"",I69/D69)</f>
        <v/>
      </c>
      <c r="K69" s="30">
        <f>IF(OR(F69="",I69="",I69=0),"",F69/I69)</f>
        <v/>
      </c>
      <c r="L69" s="27" t="n"/>
    </row>
    <row r="70" ht="22" customHeight="1">
      <c r="A70" s="22" t="n">
        <v>67</v>
      </c>
      <c r="B70" s="23" t="n"/>
      <c r="C70" s="24" t="n"/>
      <c r="D70" s="41" t="n"/>
      <c r="E70" s="25" t="n"/>
      <c r="F70" s="25">
        <f>IF(OR(D70="",E70=""),"",D70*E70)</f>
        <v/>
      </c>
      <c r="G70" s="22" t="n"/>
      <c r="H70" s="22" t="n"/>
      <c r="I70" s="24">
        <f>IF(OR(C70="",C69=""),"",C70-C69)</f>
        <v/>
      </c>
      <c r="J70" s="41">
        <f>IF(OR(I70="",D70="",D70=0,I70=0),"",I70/D70)</f>
        <v/>
      </c>
      <c r="K70" s="25">
        <f>IF(OR(F70="",I70="",I70=0),"",F70/I70)</f>
        <v/>
      </c>
      <c r="L70" s="22" t="n"/>
    </row>
    <row r="71" ht="22" customHeight="1">
      <c r="A71" s="27" t="n">
        <v>68</v>
      </c>
      <c r="B71" s="28" t="n"/>
      <c r="C71" s="29" t="n"/>
      <c r="D71" s="42" t="n"/>
      <c r="E71" s="30" t="n"/>
      <c r="F71" s="30">
        <f>IF(OR(D71="",E71=""),"",D71*E71)</f>
        <v/>
      </c>
      <c r="G71" s="27" t="n"/>
      <c r="H71" s="27" t="n"/>
      <c r="I71" s="29">
        <f>IF(OR(C71="",C70=""),"",C71-C70)</f>
        <v/>
      </c>
      <c r="J71" s="42">
        <f>IF(OR(I71="",D71="",D71=0,I71=0),"",I71/D71)</f>
        <v/>
      </c>
      <c r="K71" s="30">
        <f>IF(OR(F71="",I71="",I71=0),"",F71/I71)</f>
        <v/>
      </c>
      <c r="L71" s="27" t="n"/>
    </row>
    <row r="72" ht="22" customHeight="1">
      <c r="A72" s="22" t="n">
        <v>69</v>
      </c>
      <c r="B72" s="23" t="n"/>
      <c r="C72" s="24" t="n"/>
      <c r="D72" s="41" t="n"/>
      <c r="E72" s="25" t="n"/>
      <c r="F72" s="25">
        <f>IF(OR(D72="",E72=""),"",D72*E72)</f>
        <v/>
      </c>
      <c r="G72" s="22" t="n"/>
      <c r="H72" s="22" t="n"/>
      <c r="I72" s="24">
        <f>IF(OR(C72="",C71=""),"",C72-C71)</f>
        <v/>
      </c>
      <c r="J72" s="41">
        <f>IF(OR(I72="",D72="",D72=0,I72=0),"",I72/D72)</f>
        <v/>
      </c>
      <c r="K72" s="25">
        <f>IF(OR(F72="",I72="",I72=0),"",F72/I72)</f>
        <v/>
      </c>
      <c r="L72" s="22" t="n"/>
    </row>
    <row r="73" ht="22" customHeight="1">
      <c r="A73" s="27" t="n">
        <v>70</v>
      </c>
      <c r="B73" s="28" t="n"/>
      <c r="C73" s="29" t="n"/>
      <c r="D73" s="42" t="n"/>
      <c r="E73" s="30" t="n"/>
      <c r="F73" s="30">
        <f>IF(OR(D73="",E73=""),"",D73*E73)</f>
        <v/>
      </c>
      <c r="G73" s="27" t="n"/>
      <c r="H73" s="27" t="n"/>
      <c r="I73" s="29">
        <f>IF(OR(C73="",C72=""),"",C73-C72)</f>
        <v/>
      </c>
      <c r="J73" s="42">
        <f>IF(OR(I73="",D73="",D73=0,I73=0),"",I73/D73)</f>
        <v/>
      </c>
      <c r="K73" s="30">
        <f>IF(OR(F73="",I73="",I73=0),"",F73/I73)</f>
        <v/>
      </c>
      <c r="L73" s="27" t="n"/>
    </row>
    <row r="74" ht="22" customHeight="1">
      <c r="A74" s="22" t="n">
        <v>71</v>
      </c>
      <c r="B74" s="23" t="n"/>
      <c r="C74" s="24" t="n"/>
      <c r="D74" s="41" t="n"/>
      <c r="E74" s="25" t="n"/>
      <c r="F74" s="25">
        <f>IF(OR(D74="",E74=""),"",D74*E74)</f>
        <v/>
      </c>
      <c r="G74" s="22" t="n"/>
      <c r="H74" s="22" t="n"/>
      <c r="I74" s="24">
        <f>IF(OR(C74="",C73=""),"",C74-C73)</f>
        <v/>
      </c>
      <c r="J74" s="41">
        <f>IF(OR(I74="",D74="",D74=0,I74=0),"",I74/D74)</f>
        <v/>
      </c>
      <c r="K74" s="25">
        <f>IF(OR(F74="",I74="",I74=0),"",F74/I74)</f>
        <v/>
      </c>
      <c r="L74" s="22" t="n"/>
    </row>
    <row r="75" ht="22" customHeight="1">
      <c r="A75" s="27" t="n">
        <v>72</v>
      </c>
      <c r="B75" s="28" t="n"/>
      <c r="C75" s="29" t="n"/>
      <c r="D75" s="42" t="n"/>
      <c r="E75" s="30" t="n"/>
      <c r="F75" s="30">
        <f>IF(OR(D75="",E75=""),"",D75*E75)</f>
        <v/>
      </c>
      <c r="G75" s="27" t="n"/>
      <c r="H75" s="27" t="n"/>
      <c r="I75" s="29">
        <f>IF(OR(C75="",C74=""),"",C75-C74)</f>
        <v/>
      </c>
      <c r="J75" s="42">
        <f>IF(OR(I75="",D75="",D75=0,I75=0),"",I75/D75)</f>
        <v/>
      </c>
      <c r="K75" s="30">
        <f>IF(OR(F75="",I75="",I75=0),"",F75/I75)</f>
        <v/>
      </c>
      <c r="L75" s="27" t="n"/>
    </row>
    <row r="76" ht="22" customHeight="1">
      <c r="A76" s="22" t="n">
        <v>73</v>
      </c>
      <c r="B76" s="23" t="n"/>
      <c r="C76" s="24" t="n"/>
      <c r="D76" s="41" t="n"/>
      <c r="E76" s="25" t="n"/>
      <c r="F76" s="25">
        <f>IF(OR(D76="",E76=""),"",D76*E76)</f>
        <v/>
      </c>
      <c r="G76" s="22" t="n"/>
      <c r="H76" s="22" t="n"/>
      <c r="I76" s="24">
        <f>IF(OR(C76="",C75=""),"",C76-C75)</f>
        <v/>
      </c>
      <c r="J76" s="41">
        <f>IF(OR(I76="",D76="",D76=0,I76=0),"",I76/D76)</f>
        <v/>
      </c>
      <c r="K76" s="25">
        <f>IF(OR(F76="",I76="",I76=0),"",F76/I76)</f>
        <v/>
      </c>
      <c r="L76" s="22" t="n"/>
    </row>
    <row r="77" ht="22" customHeight="1">
      <c r="A77" s="27" t="n">
        <v>74</v>
      </c>
      <c r="B77" s="28" t="n"/>
      <c r="C77" s="29" t="n"/>
      <c r="D77" s="42" t="n"/>
      <c r="E77" s="30" t="n"/>
      <c r="F77" s="30">
        <f>IF(OR(D77="",E77=""),"",D77*E77)</f>
        <v/>
      </c>
      <c r="G77" s="27" t="n"/>
      <c r="H77" s="27" t="n"/>
      <c r="I77" s="29">
        <f>IF(OR(C77="",C76=""),"",C77-C76)</f>
        <v/>
      </c>
      <c r="J77" s="42">
        <f>IF(OR(I77="",D77="",D77=0,I77=0),"",I77/D77)</f>
        <v/>
      </c>
      <c r="K77" s="30">
        <f>IF(OR(F77="",I77="",I77=0),"",F77/I77)</f>
        <v/>
      </c>
      <c r="L77" s="27" t="n"/>
    </row>
    <row r="78" ht="22" customHeight="1">
      <c r="A78" s="22" t="n">
        <v>75</v>
      </c>
      <c r="B78" s="23" t="n"/>
      <c r="C78" s="24" t="n"/>
      <c r="D78" s="41" t="n"/>
      <c r="E78" s="25" t="n"/>
      <c r="F78" s="25">
        <f>IF(OR(D78="",E78=""),"",D78*E78)</f>
        <v/>
      </c>
      <c r="G78" s="22" t="n"/>
      <c r="H78" s="22" t="n"/>
      <c r="I78" s="24">
        <f>IF(OR(C78="",C77=""),"",C78-C77)</f>
        <v/>
      </c>
      <c r="J78" s="41">
        <f>IF(OR(I78="",D78="",D78=0,I78=0),"",I78/D78)</f>
        <v/>
      </c>
      <c r="K78" s="25">
        <f>IF(OR(F78="",I78="",I78=0),"",F78/I78)</f>
        <v/>
      </c>
      <c r="L78" s="22" t="n"/>
    </row>
    <row r="79" ht="22" customHeight="1">
      <c r="A79" s="27" t="n">
        <v>76</v>
      </c>
      <c r="B79" s="28" t="n"/>
      <c r="C79" s="29" t="n"/>
      <c r="D79" s="42" t="n"/>
      <c r="E79" s="30" t="n"/>
      <c r="F79" s="30">
        <f>IF(OR(D79="",E79=""),"",D79*E79)</f>
        <v/>
      </c>
      <c r="G79" s="27" t="n"/>
      <c r="H79" s="27" t="n"/>
      <c r="I79" s="29">
        <f>IF(OR(C79="",C78=""),"",C79-C78)</f>
        <v/>
      </c>
      <c r="J79" s="42">
        <f>IF(OR(I79="",D79="",D79=0,I79=0),"",I79/D79)</f>
        <v/>
      </c>
      <c r="K79" s="30">
        <f>IF(OR(F79="",I79="",I79=0),"",F79/I79)</f>
        <v/>
      </c>
      <c r="L79" s="27" t="n"/>
    </row>
    <row r="80" ht="22" customHeight="1">
      <c r="A80" s="22" t="n">
        <v>77</v>
      </c>
      <c r="B80" s="23" t="n"/>
      <c r="C80" s="24" t="n"/>
      <c r="D80" s="41" t="n"/>
      <c r="E80" s="25" t="n"/>
      <c r="F80" s="25">
        <f>IF(OR(D80="",E80=""),"",D80*E80)</f>
        <v/>
      </c>
      <c r="G80" s="22" t="n"/>
      <c r="H80" s="22" t="n"/>
      <c r="I80" s="24">
        <f>IF(OR(C80="",C79=""),"",C80-C79)</f>
        <v/>
      </c>
      <c r="J80" s="41">
        <f>IF(OR(I80="",D80="",D80=0,I80=0),"",I80/D80)</f>
        <v/>
      </c>
      <c r="K80" s="25">
        <f>IF(OR(F80="",I80="",I80=0),"",F80/I80)</f>
        <v/>
      </c>
      <c r="L80" s="22" t="n"/>
    </row>
    <row r="81" ht="22" customHeight="1">
      <c r="A81" s="27" t="n">
        <v>78</v>
      </c>
      <c r="B81" s="28" t="n"/>
      <c r="C81" s="29" t="n"/>
      <c r="D81" s="42" t="n"/>
      <c r="E81" s="30" t="n"/>
      <c r="F81" s="30">
        <f>IF(OR(D81="",E81=""),"",D81*E81)</f>
        <v/>
      </c>
      <c r="G81" s="27" t="n"/>
      <c r="H81" s="27" t="n"/>
      <c r="I81" s="29">
        <f>IF(OR(C81="",C80=""),"",C81-C80)</f>
        <v/>
      </c>
      <c r="J81" s="42">
        <f>IF(OR(I81="",D81="",D81=0,I81=0),"",I81/D81)</f>
        <v/>
      </c>
      <c r="K81" s="30">
        <f>IF(OR(F81="",I81="",I81=0),"",F81/I81)</f>
        <v/>
      </c>
      <c r="L81" s="27" t="n"/>
    </row>
    <row r="82" ht="22" customHeight="1">
      <c r="A82" s="22" t="n">
        <v>79</v>
      </c>
      <c r="B82" s="23" t="n"/>
      <c r="C82" s="24" t="n"/>
      <c r="D82" s="41" t="n"/>
      <c r="E82" s="25" t="n"/>
      <c r="F82" s="25">
        <f>IF(OR(D82="",E82=""),"",D82*E82)</f>
        <v/>
      </c>
      <c r="G82" s="22" t="n"/>
      <c r="H82" s="22" t="n"/>
      <c r="I82" s="24">
        <f>IF(OR(C82="",C81=""),"",C82-C81)</f>
        <v/>
      </c>
      <c r="J82" s="41">
        <f>IF(OR(I82="",D82="",D82=0,I82=0),"",I82/D82)</f>
        <v/>
      </c>
      <c r="K82" s="25">
        <f>IF(OR(F82="",I82="",I82=0),"",F82/I82)</f>
        <v/>
      </c>
      <c r="L82" s="22" t="n"/>
    </row>
    <row r="83" ht="22" customHeight="1">
      <c r="A83" s="27" t="n">
        <v>80</v>
      </c>
      <c r="B83" s="28" t="n"/>
      <c r="C83" s="29" t="n"/>
      <c r="D83" s="42" t="n"/>
      <c r="E83" s="30" t="n"/>
      <c r="F83" s="30">
        <f>IF(OR(D83="",E83=""),"",D83*E83)</f>
        <v/>
      </c>
      <c r="G83" s="27" t="n"/>
      <c r="H83" s="27" t="n"/>
      <c r="I83" s="29">
        <f>IF(OR(C83="",C82=""),"",C83-C82)</f>
        <v/>
      </c>
      <c r="J83" s="42">
        <f>IF(OR(I83="",D83="",D83=0,I83=0),"",I83/D83)</f>
        <v/>
      </c>
      <c r="K83" s="30">
        <f>IF(OR(F83="",I83="",I83=0),"",F83/I83)</f>
        <v/>
      </c>
      <c r="L83" s="27" t="n"/>
    </row>
    <row r="84" ht="22" customHeight="1">
      <c r="A84" s="22" t="n">
        <v>81</v>
      </c>
      <c r="B84" s="23" t="n"/>
      <c r="C84" s="24" t="n"/>
      <c r="D84" s="41" t="n"/>
      <c r="E84" s="25" t="n"/>
      <c r="F84" s="25">
        <f>IF(OR(D84="",E84=""),"",D84*E84)</f>
        <v/>
      </c>
      <c r="G84" s="22" t="n"/>
      <c r="H84" s="22" t="n"/>
      <c r="I84" s="24">
        <f>IF(OR(C84="",C83=""),"",C84-C83)</f>
        <v/>
      </c>
      <c r="J84" s="41">
        <f>IF(OR(I84="",D84="",D84=0,I84=0),"",I84/D84)</f>
        <v/>
      </c>
      <c r="K84" s="25">
        <f>IF(OR(F84="",I84="",I84=0),"",F84/I84)</f>
        <v/>
      </c>
      <c r="L84" s="22" t="n"/>
    </row>
    <row r="85" ht="22" customHeight="1">
      <c r="A85" s="27" t="n">
        <v>82</v>
      </c>
      <c r="B85" s="28" t="n"/>
      <c r="C85" s="29" t="n"/>
      <c r="D85" s="42" t="n"/>
      <c r="E85" s="30" t="n"/>
      <c r="F85" s="30">
        <f>IF(OR(D85="",E85=""),"",D85*E85)</f>
        <v/>
      </c>
      <c r="G85" s="27" t="n"/>
      <c r="H85" s="27" t="n"/>
      <c r="I85" s="29">
        <f>IF(OR(C85="",C84=""),"",C85-C84)</f>
        <v/>
      </c>
      <c r="J85" s="42">
        <f>IF(OR(I85="",D85="",D85=0,I85=0),"",I85/D85)</f>
        <v/>
      </c>
      <c r="K85" s="30">
        <f>IF(OR(F85="",I85="",I85=0),"",F85/I85)</f>
        <v/>
      </c>
      <c r="L85" s="27" t="n"/>
    </row>
    <row r="86" ht="22" customHeight="1">
      <c r="A86" s="22" t="n">
        <v>83</v>
      </c>
      <c r="B86" s="23" t="n"/>
      <c r="C86" s="24" t="n"/>
      <c r="D86" s="41" t="n"/>
      <c r="E86" s="25" t="n"/>
      <c r="F86" s="25">
        <f>IF(OR(D86="",E86=""),"",D86*E86)</f>
        <v/>
      </c>
      <c r="G86" s="22" t="n"/>
      <c r="H86" s="22" t="n"/>
      <c r="I86" s="24">
        <f>IF(OR(C86="",C85=""),"",C86-C85)</f>
        <v/>
      </c>
      <c r="J86" s="41">
        <f>IF(OR(I86="",D86="",D86=0,I86=0),"",I86/D86)</f>
        <v/>
      </c>
      <c r="K86" s="25">
        <f>IF(OR(F86="",I86="",I86=0),"",F86/I86)</f>
        <v/>
      </c>
      <c r="L86" s="22" t="n"/>
    </row>
    <row r="87" ht="22" customHeight="1">
      <c r="A87" s="27" t="n">
        <v>84</v>
      </c>
      <c r="B87" s="28" t="n"/>
      <c r="C87" s="29" t="n"/>
      <c r="D87" s="42" t="n"/>
      <c r="E87" s="30" t="n"/>
      <c r="F87" s="30">
        <f>IF(OR(D87="",E87=""),"",D87*E87)</f>
        <v/>
      </c>
      <c r="G87" s="27" t="n"/>
      <c r="H87" s="27" t="n"/>
      <c r="I87" s="29">
        <f>IF(OR(C87="",C86=""),"",C87-C86)</f>
        <v/>
      </c>
      <c r="J87" s="42">
        <f>IF(OR(I87="",D87="",D87=0,I87=0),"",I87/D87)</f>
        <v/>
      </c>
      <c r="K87" s="30">
        <f>IF(OR(F87="",I87="",I87=0),"",F87/I87)</f>
        <v/>
      </c>
      <c r="L87" s="27" t="n"/>
    </row>
    <row r="88" ht="22" customHeight="1">
      <c r="A88" s="22" t="n">
        <v>85</v>
      </c>
      <c r="B88" s="23" t="n"/>
      <c r="C88" s="24" t="n"/>
      <c r="D88" s="41" t="n"/>
      <c r="E88" s="25" t="n"/>
      <c r="F88" s="25">
        <f>IF(OR(D88="",E88=""),"",D88*E88)</f>
        <v/>
      </c>
      <c r="G88" s="22" t="n"/>
      <c r="H88" s="22" t="n"/>
      <c r="I88" s="24">
        <f>IF(OR(C88="",C87=""),"",C88-C87)</f>
        <v/>
      </c>
      <c r="J88" s="41">
        <f>IF(OR(I88="",D88="",D88=0,I88=0),"",I88/D88)</f>
        <v/>
      </c>
      <c r="K88" s="25">
        <f>IF(OR(F88="",I88="",I88=0),"",F88/I88)</f>
        <v/>
      </c>
      <c r="L88" s="22" t="n"/>
    </row>
    <row r="89" ht="22" customHeight="1">
      <c r="A89" s="27" t="n">
        <v>86</v>
      </c>
      <c r="B89" s="28" t="n"/>
      <c r="C89" s="29" t="n"/>
      <c r="D89" s="42" t="n"/>
      <c r="E89" s="30" t="n"/>
      <c r="F89" s="30">
        <f>IF(OR(D89="",E89=""),"",D89*E89)</f>
        <v/>
      </c>
      <c r="G89" s="27" t="n"/>
      <c r="H89" s="27" t="n"/>
      <c r="I89" s="29">
        <f>IF(OR(C89="",C88=""),"",C89-C88)</f>
        <v/>
      </c>
      <c r="J89" s="42">
        <f>IF(OR(I89="",D89="",D89=0,I89=0),"",I89/D89)</f>
        <v/>
      </c>
      <c r="K89" s="30">
        <f>IF(OR(F89="",I89="",I89=0),"",F89/I89)</f>
        <v/>
      </c>
      <c r="L89" s="27" t="n"/>
    </row>
    <row r="90" ht="22" customHeight="1">
      <c r="A90" s="22" t="n">
        <v>87</v>
      </c>
      <c r="B90" s="23" t="n"/>
      <c r="C90" s="24" t="n"/>
      <c r="D90" s="41" t="n"/>
      <c r="E90" s="25" t="n"/>
      <c r="F90" s="25">
        <f>IF(OR(D90="",E90=""),"",D90*E90)</f>
        <v/>
      </c>
      <c r="G90" s="22" t="n"/>
      <c r="H90" s="22" t="n"/>
      <c r="I90" s="24">
        <f>IF(OR(C90="",C89=""),"",C90-C89)</f>
        <v/>
      </c>
      <c r="J90" s="41">
        <f>IF(OR(I90="",D90="",D90=0,I90=0),"",I90/D90)</f>
        <v/>
      </c>
      <c r="K90" s="25">
        <f>IF(OR(F90="",I90="",I90=0),"",F90/I90)</f>
        <v/>
      </c>
      <c r="L90" s="22" t="n"/>
    </row>
    <row r="91" ht="22" customHeight="1">
      <c r="A91" s="27" t="n">
        <v>88</v>
      </c>
      <c r="B91" s="28" t="n"/>
      <c r="C91" s="29" t="n"/>
      <c r="D91" s="42" t="n"/>
      <c r="E91" s="30" t="n"/>
      <c r="F91" s="30">
        <f>IF(OR(D91="",E91=""),"",D91*E91)</f>
        <v/>
      </c>
      <c r="G91" s="27" t="n"/>
      <c r="H91" s="27" t="n"/>
      <c r="I91" s="29">
        <f>IF(OR(C91="",C90=""),"",C91-C90)</f>
        <v/>
      </c>
      <c r="J91" s="42">
        <f>IF(OR(I91="",D91="",D91=0,I91=0),"",I91/D91)</f>
        <v/>
      </c>
      <c r="K91" s="30">
        <f>IF(OR(F91="",I91="",I91=0),"",F91/I91)</f>
        <v/>
      </c>
      <c r="L91" s="27" t="n"/>
    </row>
    <row r="92" ht="22" customHeight="1">
      <c r="A92" s="22" t="n">
        <v>89</v>
      </c>
      <c r="B92" s="23" t="n"/>
      <c r="C92" s="24" t="n"/>
      <c r="D92" s="41" t="n"/>
      <c r="E92" s="25" t="n"/>
      <c r="F92" s="25">
        <f>IF(OR(D92="",E92=""),"",D92*E92)</f>
        <v/>
      </c>
      <c r="G92" s="22" t="n"/>
      <c r="H92" s="22" t="n"/>
      <c r="I92" s="24">
        <f>IF(OR(C92="",C91=""),"",C92-C91)</f>
        <v/>
      </c>
      <c r="J92" s="41">
        <f>IF(OR(I92="",D92="",D92=0,I92=0),"",I92/D92)</f>
        <v/>
      </c>
      <c r="K92" s="25">
        <f>IF(OR(F92="",I92="",I92=0),"",F92/I92)</f>
        <v/>
      </c>
      <c r="L92" s="22" t="n"/>
    </row>
    <row r="93" ht="22" customHeight="1">
      <c r="A93" s="27" t="n">
        <v>90</v>
      </c>
      <c r="B93" s="28" t="n"/>
      <c r="C93" s="29" t="n"/>
      <c r="D93" s="42" t="n"/>
      <c r="E93" s="30" t="n"/>
      <c r="F93" s="30">
        <f>IF(OR(D93="",E93=""),"",D93*E93)</f>
        <v/>
      </c>
      <c r="G93" s="27" t="n"/>
      <c r="H93" s="27" t="n"/>
      <c r="I93" s="29">
        <f>IF(OR(C93="",C92=""),"",C93-C92)</f>
        <v/>
      </c>
      <c r="J93" s="42">
        <f>IF(OR(I93="",D93="",D93=0,I93=0),"",I93/D93)</f>
        <v/>
      </c>
      <c r="K93" s="30">
        <f>IF(OR(F93="",I93="",I93=0),"",F93/I93)</f>
        <v/>
      </c>
      <c r="L93" s="27" t="n"/>
    </row>
    <row r="94" ht="22" customHeight="1">
      <c r="A94" s="22" t="n">
        <v>91</v>
      </c>
      <c r="B94" s="23" t="n"/>
      <c r="C94" s="24" t="n"/>
      <c r="D94" s="41" t="n"/>
      <c r="E94" s="25" t="n"/>
      <c r="F94" s="25">
        <f>IF(OR(D94="",E94=""),"",D94*E94)</f>
        <v/>
      </c>
      <c r="G94" s="22" t="n"/>
      <c r="H94" s="22" t="n"/>
      <c r="I94" s="24">
        <f>IF(OR(C94="",C93=""),"",C94-C93)</f>
        <v/>
      </c>
      <c r="J94" s="41">
        <f>IF(OR(I94="",D94="",D94=0,I94=0),"",I94/D94)</f>
        <v/>
      </c>
      <c r="K94" s="25">
        <f>IF(OR(F94="",I94="",I94=0),"",F94/I94)</f>
        <v/>
      </c>
      <c r="L94" s="22" t="n"/>
    </row>
    <row r="95" ht="22" customHeight="1">
      <c r="A95" s="27" t="n">
        <v>92</v>
      </c>
      <c r="B95" s="28" t="n"/>
      <c r="C95" s="29" t="n"/>
      <c r="D95" s="42" t="n"/>
      <c r="E95" s="30" t="n"/>
      <c r="F95" s="30">
        <f>IF(OR(D95="",E95=""),"",D95*E95)</f>
        <v/>
      </c>
      <c r="G95" s="27" t="n"/>
      <c r="H95" s="27" t="n"/>
      <c r="I95" s="29">
        <f>IF(OR(C95="",C94=""),"",C95-C94)</f>
        <v/>
      </c>
      <c r="J95" s="42">
        <f>IF(OR(I95="",D95="",D95=0,I95=0),"",I95/D95)</f>
        <v/>
      </c>
      <c r="K95" s="30">
        <f>IF(OR(F95="",I95="",I95=0),"",F95/I95)</f>
        <v/>
      </c>
      <c r="L95" s="27" t="n"/>
    </row>
    <row r="96" ht="22" customHeight="1">
      <c r="A96" s="22" t="n">
        <v>93</v>
      </c>
      <c r="B96" s="23" t="n"/>
      <c r="C96" s="24" t="n"/>
      <c r="D96" s="41" t="n"/>
      <c r="E96" s="25" t="n"/>
      <c r="F96" s="25">
        <f>IF(OR(D96="",E96=""),"",D96*E96)</f>
        <v/>
      </c>
      <c r="G96" s="22" t="n"/>
      <c r="H96" s="22" t="n"/>
      <c r="I96" s="24">
        <f>IF(OR(C96="",C95=""),"",C96-C95)</f>
        <v/>
      </c>
      <c r="J96" s="41">
        <f>IF(OR(I96="",D96="",D96=0,I96=0),"",I96/D96)</f>
        <v/>
      </c>
      <c r="K96" s="25">
        <f>IF(OR(F96="",I96="",I96=0),"",F96/I96)</f>
        <v/>
      </c>
      <c r="L96" s="22" t="n"/>
    </row>
    <row r="97" ht="22" customHeight="1">
      <c r="A97" s="27" t="n">
        <v>94</v>
      </c>
      <c r="B97" s="28" t="n"/>
      <c r="C97" s="29" t="n"/>
      <c r="D97" s="42" t="n"/>
      <c r="E97" s="30" t="n"/>
      <c r="F97" s="30">
        <f>IF(OR(D97="",E97=""),"",D97*E97)</f>
        <v/>
      </c>
      <c r="G97" s="27" t="n"/>
      <c r="H97" s="27" t="n"/>
      <c r="I97" s="29">
        <f>IF(OR(C97="",C96=""),"",C97-C96)</f>
        <v/>
      </c>
      <c r="J97" s="42">
        <f>IF(OR(I97="",D97="",D97=0,I97=0),"",I97/D97)</f>
        <v/>
      </c>
      <c r="K97" s="30">
        <f>IF(OR(F97="",I97="",I97=0),"",F97/I97)</f>
        <v/>
      </c>
      <c r="L97" s="27" t="n"/>
    </row>
    <row r="98" ht="22" customHeight="1">
      <c r="A98" s="22" t="n">
        <v>95</v>
      </c>
      <c r="B98" s="23" t="n"/>
      <c r="C98" s="24" t="n"/>
      <c r="D98" s="41" t="n"/>
      <c r="E98" s="25" t="n"/>
      <c r="F98" s="25">
        <f>IF(OR(D98="",E98=""),"",D98*E98)</f>
        <v/>
      </c>
      <c r="G98" s="22" t="n"/>
      <c r="H98" s="22" t="n"/>
      <c r="I98" s="24">
        <f>IF(OR(C98="",C97=""),"",C98-C97)</f>
        <v/>
      </c>
      <c r="J98" s="41">
        <f>IF(OR(I98="",D98="",D98=0,I98=0),"",I98/D98)</f>
        <v/>
      </c>
      <c r="K98" s="25">
        <f>IF(OR(F98="",I98="",I98=0),"",F98/I98)</f>
        <v/>
      </c>
      <c r="L98" s="22" t="n"/>
    </row>
    <row r="99" ht="22" customHeight="1">
      <c r="A99" s="27" t="n">
        <v>96</v>
      </c>
      <c r="B99" s="28" t="n"/>
      <c r="C99" s="29" t="n"/>
      <c r="D99" s="42" t="n"/>
      <c r="E99" s="30" t="n"/>
      <c r="F99" s="30">
        <f>IF(OR(D99="",E99=""),"",D99*E99)</f>
        <v/>
      </c>
      <c r="G99" s="27" t="n"/>
      <c r="H99" s="27" t="n"/>
      <c r="I99" s="29">
        <f>IF(OR(C99="",C98=""),"",C99-C98)</f>
        <v/>
      </c>
      <c r="J99" s="42">
        <f>IF(OR(I99="",D99="",D99=0,I99=0),"",I99/D99)</f>
        <v/>
      </c>
      <c r="K99" s="30">
        <f>IF(OR(F99="",I99="",I99=0),"",F99/I99)</f>
        <v/>
      </c>
      <c r="L99" s="27" t="n"/>
    </row>
    <row r="100" ht="22" customHeight="1">
      <c r="A100" s="22" t="n">
        <v>97</v>
      </c>
      <c r="B100" s="23" t="n"/>
      <c r="C100" s="24" t="n"/>
      <c r="D100" s="41" t="n"/>
      <c r="E100" s="25" t="n"/>
      <c r="F100" s="25">
        <f>IF(OR(D100="",E100=""),"",D100*E100)</f>
        <v/>
      </c>
      <c r="G100" s="22" t="n"/>
      <c r="H100" s="22" t="n"/>
      <c r="I100" s="24">
        <f>IF(OR(C100="",C99=""),"",C100-C99)</f>
        <v/>
      </c>
      <c r="J100" s="41">
        <f>IF(OR(I100="",D100="",D100=0,I100=0),"",I100/D100)</f>
        <v/>
      </c>
      <c r="K100" s="25">
        <f>IF(OR(F100="",I100="",I100=0),"",F100/I100)</f>
        <v/>
      </c>
      <c r="L100" s="22" t="n"/>
    </row>
    <row r="101" ht="22" customHeight="1">
      <c r="A101" s="27" t="n">
        <v>98</v>
      </c>
      <c r="B101" s="28" t="n"/>
      <c r="C101" s="29" t="n"/>
      <c r="D101" s="42" t="n"/>
      <c r="E101" s="30" t="n"/>
      <c r="F101" s="30">
        <f>IF(OR(D101="",E101=""),"",D101*E101)</f>
        <v/>
      </c>
      <c r="G101" s="27" t="n"/>
      <c r="H101" s="27" t="n"/>
      <c r="I101" s="29">
        <f>IF(OR(C101="",C100=""),"",C101-C100)</f>
        <v/>
      </c>
      <c r="J101" s="42">
        <f>IF(OR(I101="",D101="",D101=0,I101=0),"",I101/D101)</f>
        <v/>
      </c>
      <c r="K101" s="30">
        <f>IF(OR(F101="",I101="",I101=0),"",F101/I101)</f>
        <v/>
      </c>
      <c r="L101" s="27" t="n"/>
    </row>
    <row r="102" ht="22" customHeight="1">
      <c r="A102" s="22" t="n">
        <v>99</v>
      </c>
      <c r="B102" s="23" t="n"/>
      <c r="C102" s="24" t="n"/>
      <c r="D102" s="41" t="n"/>
      <c r="E102" s="25" t="n"/>
      <c r="F102" s="25">
        <f>IF(OR(D102="",E102=""),"",D102*E102)</f>
        <v/>
      </c>
      <c r="G102" s="22" t="n"/>
      <c r="H102" s="22" t="n"/>
      <c r="I102" s="24">
        <f>IF(OR(C102="",C101=""),"",C102-C101)</f>
        <v/>
      </c>
      <c r="J102" s="41">
        <f>IF(OR(I102="",D102="",D102=0,I102=0),"",I102/D102)</f>
        <v/>
      </c>
      <c r="K102" s="25">
        <f>IF(OR(F102="",I102="",I102=0),"",F102/I102)</f>
        <v/>
      </c>
      <c r="L102" s="22" t="n"/>
    </row>
    <row r="103" ht="22" customHeight="1">
      <c r="A103" s="27" t="n">
        <v>100</v>
      </c>
      <c r="B103" s="28" t="n"/>
      <c r="C103" s="29" t="n"/>
      <c r="D103" s="42" t="n"/>
      <c r="E103" s="30" t="n"/>
      <c r="F103" s="30">
        <f>IF(OR(D103="",E103=""),"",D103*E103)</f>
        <v/>
      </c>
      <c r="G103" s="27" t="n"/>
      <c r="H103" s="27" t="n"/>
      <c r="I103" s="29">
        <f>IF(OR(C103="",C102=""),"",C103-C102)</f>
        <v/>
      </c>
      <c r="J103" s="42">
        <f>IF(OR(I103="",D103="",D103=0,I103=0),"",I103/D103)</f>
        <v/>
      </c>
      <c r="K103" s="30">
        <f>IF(OR(F103="",I103="",I103=0),"",F103/I103)</f>
        <v/>
      </c>
      <c r="L103" s="27" t="n"/>
    </row>
    <row r="104" ht="22" customHeight="1">
      <c r="A104" s="22" t="n">
        <v>101</v>
      </c>
      <c r="B104" s="23" t="n"/>
      <c r="C104" s="24" t="n"/>
      <c r="D104" s="41" t="n"/>
      <c r="E104" s="25" t="n"/>
      <c r="F104" s="25">
        <f>IF(OR(D104="",E104=""),"",D104*E104)</f>
        <v/>
      </c>
      <c r="G104" s="22" t="n"/>
      <c r="H104" s="22" t="n"/>
      <c r="I104" s="24">
        <f>IF(OR(C104="",C103=""),"",C104-C103)</f>
        <v/>
      </c>
      <c r="J104" s="41">
        <f>IF(OR(I104="",D104="",D104=0,I104=0),"",I104/D104)</f>
        <v/>
      </c>
      <c r="K104" s="25">
        <f>IF(OR(F104="",I104="",I104=0),"",F104/I104)</f>
        <v/>
      </c>
      <c r="L104" s="22" t="n"/>
    </row>
    <row r="105" ht="22" customHeight="1">
      <c r="A105" s="27" t="n">
        <v>102</v>
      </c>
      <c r="B105" s="28" t="n"/>
      <c r="C105" s="29" t="n"/>
      <c r="D105" s="42" t="n"/>
      <c r="E105" s="30" t="n"/>
      <c r="F105" s="30">
        <f>IF(OR(D105="",E105=""),"",D105*E105)</f>
        <v/>
      </c>
      <c r="G105" s="27" t="n"/>
      <c r="H105" s="27" t="n"/>
      <c r="I105" s="29">
        <f>IF(OR(C105="",C104=""),"",C105-C104)</f>
        <v/>
      </c>
      <c r="J105" s="42">
        <f>IF(OR(I105="",D105="",D105=0,I105=0),"",I105/D105)</f>
        <v/>
      </c>
      <c r="K105" s="30">
        <f>IF(OR(F105="",I105="",I105=0),"",F105/I105)</f>
        <v/>
      </c>
      <c r="L105" s="27" t="n"/>
    </row>
    <row r="106" ht="22" customHeight="1">
      <c r="A106" s="22" t="n">
        <v>103</v>
      </c>
      <c r="B106" s="23" t="n"/>
      <c r="C106" s="24" t="n"/>
      <c r="D106" s="41" t="n"/>
      <c r="E106" s="25" t="n"/>
      <c r="F106" s="25">
        <f>IF(OR(D106="",E106=""),"",D106*E106)</f>
        <v/>
      </c>
      <c r="G106" s="22" t="n"/>
      <c r="H106" s="22" t="n"/>
      <c r="I106" s="24">
        <f>IF(OR(C106="",C105=""),"",C106-C105)</f>
        <v/>
      </c>
      <c r="J106" s="41">
        <f>IF(OR(I106="",D106="",D106=0,I106=0),"",I106/D106)</f>
        <v/>
      </c>
      <c r="K106" s="25">
        <f>IF(OR(F106="",I106="",I106=0),"",F106/I106)</f>
        <v/>
      </c>
      <c r="L106" s="22" t="n"/>
    </row>
    <row r="107" ht="22" customHeight="1">
      <c r="A107" s="27" t="n">
        <v>104</v>
      </c>
      <c r="B107" s="28" t="n"/>
      <c r="C107" s="29" t="n"/>
      <c r="D107" s="42" t="n"/>
      <c r="E107" s="30" t="n"/>
      <c r="F107" s="30">
        <f>IF(OR(D107="",E107=""),"",D107*E107)</f>
        <v/>
      </c>
      <c r="G107" s="27" t="n"/>
      <c r="H107" s="27" t="n"/>
      <c r="I107" s="29">
        <f>IF(OR(C107="",C106=""),"",C107-C106)</f>
        <v/>
      </c>
      <c r="J107" s="42">
        <f>IF(OR(I107="",D107="",D107=0,I107=0),"",I107/D107)</f>
        <v/>
      </c>
      <c r="K107" s="30">
        <f>IF(OR(F107="",I107="",I107=0),"",F107/I107)</f>
        <v/>
      </c>
      <c r="L107" s="27" t="n"/>
    </row>
    <row r="108" ht="22" customHeight="1">
      <c r="A108" s="22" t="n">
        <v>105</v>
      </c>
      <c r="B108" s="23" t="n"/>
      <c r="C108" s="24" t="n"/>
      <c r="D108" s="41" t="n"/>
      <c r="E108" s="25" t="n"/>
      <c r="F108" s="25">
        <f>IF(OR(D108="",E108=""),"",D108*E108)</f>
        <v/>
      </c>
      <c r="G108" s="22" t="n"/>
      <c r="H108" s="22" t="n"/>
      <c r="I108" s="24">
        <f>IF(OR(C108="",C107=""),"",C108-C107)</f>
        <v/>
      </c>
      <c r="J108" s="41">
        <f>IF(OR(I108="",D108="",D108=0,I108=0),"",I108/D108)</f>
        <v/>
      </c>
      <c r="K108" s="25">
        <f>IF(OR(F108="",I108="",I108=0),"",F108/I108)</f>
        <v/>
      </c>
      <c r="L108" s="22" t="n"/>
    </row>
    <row r="109" ht="22" customHeight="1">
      <c r="A109" s="27" t="n">
        <v>106</v>
      </c>
      <c r="B109" s="28" t="n"/>
      <c r="C109" s="29" t="n"/>
      <c r="D109" s="42" t="n"/>
      <c r="E109" s="30" t="n"/>
      <c r="F109" s="30">
        <f>IF(OR(D109="",E109=""),"",D109*E109)</f>
        <v/>
      </c>
      <c r="G109" s="27" t="n"/>
      <c r="H109" s="27" t="n"/>
      <c r="I109" s="29">
        <f>IF(OR(C109="",C108=""),"",C109-C108)</f>
        <v/>
      </c>
      <c r="J109" s="42">
        <f>IF(OR(I109="",D109="",D109=0,I109=0),"",I109/D109)</f>
        <v/>
      </c>
      <c r="K109" s="30">
        <f>IF(OR(F109="",I109="",I109=0),"",F109/I109)</f>
        <v/>
      </c>
      <c r="L109" s="27" t="n"/>
    </row>
    <row r="110" ht="22" customHeight="1">
      <c r="A110" s="22" t="n">
        <v>107</v>
      </c>
      <c r="B110" s="23" t="n"/>
      <c r="C110" s="24" t="n"/>
      <c r="D110" s="41" t="n"/>
      <c r="E110" s="25" t="n"/>
      <c r="F110" s="25">
        <f>IF(OR(D110="",E110=""),"",D110*E110)</f>
        <v/>
      </c>
      <c r="G110" s="22" t="n"/>
      <c r="H110" s="22" t="n"/>
      <c r="I110" s="24">
        <f>IF(OR(C110="",C109=""),"",C110-C109)</f>
        <v/>
      </c>
      <c r="J110" s="41">
        <f>IF(OR(I110="",D110="",D110=0,I110=0),"",I110/D110)</f>
        <v/>
      </c>
      <c r="K110" s="25">
        <f>IF(OR(F110="",I110="",I110=0),"",F110/I110)</f>
        <v/>
      </c>
      <c r="L110" s="22" t="n"/>
    </row>
    <row r="111" ht="22" customHeight="1">
      <c r="A111" s="27" t="n">
        <v>108</v>
      </c>
      <c r="B111" s="28" t="n"/>
      <c r="C111" s="29" t="n"/>
      <c r="D111" s="42" t="n"/>
      <c r="E111" s="30" t="n"/>
      <c r="F111" s="30">
        <f>IF(OR(D111="",E111=""),"",D111*E111)</f>
        <v/>
      </c>
      <c r="G111" s="27" t="n"/>
      <c r="H111" s="27" t="n"/>
      <c r="I111" s="29">
        <f>IF(OR(C111="",C110=""),"",C111-C110)</f>
        <v/>
      </c>
      <c r="J111" s="42">
        <f>IF(OR(I111="",D111="",D111=0,I111=0),"",I111/D111)</f>
        <v/>
      </c>
      <c r="K111" s="30">
        <f>IF(OR(F111="",I111="",I111=0),"",F111/I111)</f>
        <v/>
      </c>
      <c r="L111" s="27" t="n"/>
    </row>
    <row r="112" ht="22" customHeight="1">
      <c r="A112" s="22" t="n">
        <v>109</v>
      </c>
      <c r="B112" s="23" t="n"/>
      <c r="C112" s="24" t="n"/>
      <c r="D112" s="41" t="n"/>
      <c r="E112" s="25" t="n"/>
      <c r="F112" s="25">
        <f>IF(OR(D112="",E112=""),"",D112*E112)</f>
        <v/>
      </c>
      <c r="G112" s="22" t="n"/>
      <c r="H112" s="22" t="n"/>
      <c r="I112" s="24">
        <f>IF(OR(C112="",C111=""),"",C112-C111)</f>
        <v/>
      </c>
      <c r="J112" s="41">
        <f>IF(OR(I112="",D112="",D112=0,I112=0),"",I112/D112)</f>
        <v/>
      </c>
      <c r="K112" s="25">
        <f>IF(OR(F112="",I112="",I112=0),"",F112/I112)</f>
        <v/>
      </c>
      <c r="L112" s="22" t="n"/>
    </row>
    <row r="113" ht="22" customHeight="1">
      <c r="A113" s="27" t="n">
        <v>110</v>
      </c>
      <c r="B113" s="28" t="n"/>
      <c r="C113" s="29" t="n"/>
      <c r="D113" s="42" t="n"/>
      <c r="E113" s="30" t="n"/>
      <c r="F113" s="30">
        <f>IF(OR(D113="",E113=""),"",D113*E113)</f>
        <v/>
      </c>
      <c r="G113" s="27" t="n"/>
      <c r="H113" s="27" t="n"/>
      <c r="I113" s="29">
        <f>IF(OR(C113="",C112=""),"",C113-C112)</f>
        <v/>
      </c>
      <c r="J113" s="42">
        <f>IF(OR(I113="",D113="",D113=0,I113=0),"",I113/D113)</f>
        <v/>
      </c>
      <c r="K113" s="30">
        <f>IF(OR(F113="",I113="",I113=0),"",F113/I113)</f>
        <v/>
      </c>
      <c r="L113" s="27" t="n"/>
    </row>
    <row r="114" ht="22" customHeight="1">
      <c r="A114" s="22" t="n">
        <v>111</v>
      </c>
      <c r="B114" s="23" t="n"/>
      <c r="C114" s="24" t="n"/>
      <c r="D114" s="41" t="n"/>
      <c r="E114" s="25" t="n"/>
      <c r="F114" s="25">
        <f>IF(OR(D114="",E114=""),"",D114*E114)</f>
        <v/>
      </c>
      <c r="G114" s="22" t="n"/>
      <c r="H114" s="22" t="n"/>
      <c r="I114" s="24">
        <f>IF(OR(C114="",C113=""),"",C114-C113)</f>
        <v/>
      </c>
      <c r="J114" s="41">
        <f>IF(OR(I114="",D114="",D114=0,I114=0),"",I114/D114)</f>
        <v/>
      </c>
      <c r="K114" s="25">
        <f>IF(OR(F114="",I114="",I114=0),"",F114/I114)</f>
        <v/>
      </c>
      <c r="L114" s="22" t="n"/>
    </row>
    <row r="115" ht="22" customHeight="1">
      <c r="A115" s="27" t="n">
        <v>112</v>
      </c>
      <c r="B115" s="28" t="n"/>
      <c r="C115" s="29" t="n"/>
      <c r="D115" s="42" t="n"/>
      <c r="E115" s="30" t="n"/>
      <c r="F115" s="30">
        <f>IF(OR(D115="",E115=""),"",D115*E115)</f>
        <v/>
      </c>
      <c r="G115" s="27" t="n"/>
      <c r="H115" s="27" t="n"/>
      <c r="I115" s="29">
        <f>IF(OR(C115="",C114=""),"",C115-C114)</f>
        <v/>
      </c>
      <c r="J115" s="42">
        <f>IF(OR(I115="",D115="",D115=0,I115=0),"",I115/D115)</f>
        <v/>
      </c>
      <c r="K115" s="30">
        <f>IF(OR(F115="",I115="",I115=0),"",F115/I115)</f>
        <v/>
      </c>
      <c r="L115" s="27" t="n"/>
    </row>
    <row r="116" ht="22" customHeight="1">
      <c r="A116" s="22" t="n">
        <v>113</v>
      </c>
      <c r="B116" s="23" t="n"/>
      <c r="C116" s="24" t="n"/>
      <c r="D116" s="41" t="n"/>
      <c r="E116" s="25" t="n"/>
      <c r="F116" s="25">
        <f>IF(OR(D116="",E116=""),"",D116*E116)</f>
        <v/>
      </c>
      <c r="G116" s="22" t="n"/>
      <c r="H116" s="22" t="n"/>
      <c r="I116" s="24">
        <f>IF(OR(C116="",C115=""),"",C116-C115)</f>
        <v/>
      </c>
      <c r="J116" s="41">
        <f>IF(OR(I116="",D116="",D116=0,I116=0),"",I116/D116)</f>
        <v/>
      </c>
      <c r="K116" s="25">
        <f>IF(OR(F116="",I116="",I116=0),"",F116/I116)</f>
        <v/>
      </c>
      <c r="L116" s="22" t="n"/>
    </row>
    <row r="117" ht="22" customHeight="1">
      <c r="A117" s="27" t="n">
        <v>114</v>
      </c>
      <c r="B117" s="28" t="n"/>
      <c r="C117" s="29" t="n"/>
      <c r="D117" s="42" t="n"/>
      <c r="E117" s="30" t="n"/>
      <c r="F117" s="30">
        <f>IF(OR(D117="",E117=""),"",D117*E117)</f>
        <v/>
      </c>
      <c r="G117" s="27" t="n"/>
      <c r="H117" s="27" t="n"/>
      <c r="I117" s="29">
        <f>IF(OR(C117="",C116=""),"",C117-C116)</f>
        <v/>
      </c>
      <c r="J117" s="42">
        <f>IF(OR(I117="",D117="",D117=0,I117=0),"",I117/D117)</f>
        <v/>
      </c>
      <c r="K117" s="30">
        <f>IF(OR(F117="",I117="",I117=0),"",F117/I117)</f>
        <v/>
      </c>
      <c r="L117" s="27" t="n"/>
    </row>
    <row r="118" ht="22" customHeight="1">
      <c r="A118" s="22" t="n">
        <v>115</v>
      </c>
      <c r="B118" s="23" t="n"/>
      <c r="C118" s="24" t="n"/>
      <c r="D118" s="41" t="n"/>
      <c r="E118" s="25" t="n"/>
      <c r="F118" s="25">
        <f>IF(OR(D118="",E118=""),"",D118*E118)</f>
        <v/>
      </c>
      <c r="G118" s="22" t="n"/>
      <c r="H118" s="22" t="n"/>
      <c r="I118" s="24">
        <f>IF(OR(C118="",C117=""),"",C118-C117)</f>
        <v/>
      </c>
      <c r="J118" s="41">
        <f>IF(OR(I118="",D118="",D118=0,I118=0),"",I118/D118)</f>
        <v/>
      </c>
      <c r="K118" s="25">
        <f>IF(OR(F118="",I118="",I118=0),"",F118/I118)</f>
        <v/>
      </c>
      <c r="L118" s="22" t="n"/>
    </row>
    <row r="119" ht="22" customHeight="1">
      <c r="A119" s="27" t="n">
        <v>116</v>
      </c>
      <c r="B119" s="28" t="n"/>
      <c r="C119" s="29" t="n"/>
      <c r="D119" s="42" t="n"/>
      <c r="E119" s="30" t="n"/>
      <c r="F119" s="30">
        <f>IF(OR(D119="",E119=""),"",D119*E119)</f>
        <v/>
      </c>
      <c r="G119" s="27" t="n"/>
      <c r="H119" s="27" t="n"/>
      <c r="I119" s="29">
        <f>IF(OR(C119="",C118=""),"",C119-C118)</f>
        <v/>
      </c>
      <c r="J119" s="42">
        <f>IF(OR(I119="",D119="",D119=0,I119=0),"",I119/D119)</f>
        <v/>
      </c>
      <c r="K119" s="30">
        <f>IF(OR(F119="",I119="",I119=0),"",F119/I119)</f>
        <v/>
      </c>
      <c r="L119" s="27" t="n"/>
    </row>
    <row r="120" ht="22" customHeight="1">
      <c r="A120" s="22" t="n">
        <v>117</v>
      </c>
      <c r="B120" s="23" t="n"/>
      <c r="C120" s="24" t="n"/>
      <c r="D120" s="41" t="n"/>
      <c r="E120" s="25" t="n"/>
      <c r="F120" s="25">
        <f>IF(OR(D120="",E120=""),"",D120*E120)</f>
        <v/>
      </c>
      <c r="G120" s="22" t="n"/>
      <c r="H120" s="22" t="n"/>
      <c r="I120" s="24">
        <f>IF(OR(C120="",C119=""),"",C120-C119)</f>
        <v/>
      </c>
      <c r="J120" s="41">
        <f>IF(OR(I120="",D120="",D120=0,I120=0),"",I120/D120)</f>
        <v/>
      </c>
      <c r="K120" s="25">
        <f>IF(OR(F120="",I120="",I120=0),"",F120/I120)</f>
        <v/>
      </c>
      <c r="L120" s="22" t="n"/>
    </row>
    <row r="121" ht="22" customHeight="1">
      <c r="A121" s="27" t="n">
        <v>118</v>
      </c>
      <c r="B121" s="28" t="n"/>
      <c r="C121" s="29" t="n"/>
      <c r="D121" s="42" t="n"/>
      <c r="E121" s="30" t="n"/>
      <c r="F121" s="30">
        <f>IF(OR(D121="",E121=""),"",D121*E121)</f>
        <v/>
      </c>
      <c r="G121" s="27" t="n"/>
      <c r="H121" s="27" t="n"/>
      <c r="I121" s="29">
        <f>IF(OR(C121="",C120=""),"",C121-C120)</f>
        <v/>
      </c>
      <c r="J121" s="42">
        <f>IF(OR(I121="",D121="",D121=0,I121=0),"",I121/D121)</f>
        <v/>
      </c>
      <c r="K121" s="30">
        <f>IF(OR(F121="",I121="",I121=0),"",F121/I121)</f>
        <v/>
      </c>
      <c r="L121" s="27" t="n"/>
    </row>
    <row r="122" ht="22" customHeight="1">
      <c r="A122" s="22" t="n">
        <v>119</v>
      </c>
      <c r="B122" s="23" t="n"/>
      <c r="C122" s="24" t="n"/>
      <c r="D122" s="41" t="n"/>
      <c r="E122" s="25" t="n"/>
      <c r="F122" s="25">
        <f>IF(OR(D122="",E122=""),"",D122*E122)</f>
        <v/>
      </c>
      <c r="G122" s="22" t="n"/>
      <c r="H122" s="22" t="n"/>
      <c r="I122" s="24">
        <f>IF(OR(C122="",C121=""),"",C122-C121)</f>
        <v/>
      </c>
      <c r="J122" s="41">
        <f>IF(OR(I122="",D122="",D122=0,I122=0),"",I122/D122)</f>
        <v/>
      </c>
      <c r="K122" s="25">
        <f>IF(OR(F122="",I122="",I122=0),"",F122/I122)</f>
        <v/>
      </c>
      <c r="L122" s="22" t="n"/>
    </row>
    <row r="123" ht="22" customHeight="1">
      <c r="A123" s="27" t="n">
        <v>120</v>
      </c>
      <c r="B123" s="28" t="n"/>
      <c r="C123" s="29" t="n"/>
      <c r="D123" s="42" t="n"/>
      <c r="E123" s="30" t="n"/>
      <c r="F123" s="30">
        <f>IF(OR(D123="",E123=""),"",D123*E123)</f>
        <v/>
      </c>
      <c r="G123" s="27" t="n"/>
      <c r="H123" s="27" t="n"/>
      <c r="I123" s="29">
        <f>IF(OR(C123="",C122=""),"",C123-C122)</f>
        <v/>
      </c>
      <c r="J123" s="42">
        <f>IF(OR(I123="",D123="",D123=0,I123=0),"",I123/D123)</f>
        <v/>
      </c>
      <c r="K123" s="30">
        <f>IF(OR(F123="",I123="",I123=0),"",F123/I123)</f>
        <v/>
      </c>
      <c r="L123" s="27" t="n"/>
    </row>
    <row r="124" ht="22" customHeight="1">
      <c r="A124" s="22" t="n">
        <v>121</v>
      </c>
      <c r="B124" s="23" t="n"/>
      <c r="C124" s="24" t="n"/>
      <c r="D124" s="41" t="n"/>
      <c r="E124" s="25" t="n"/>
      <c r="F124" s="25">
        <f>IF(OR(D124="",E124=""),"",D124*E124)</f>
        <v/>
      </c>
      <c r="G124" s="22" t="n"/>
      <c r="H124" s="22" t="n"/>
      <c r="I124" s="24">
        <f>IF(OR(C124="",C123=""),"",C124-C123)</f>
        <v/>
      </c>
      <c r="J124" s="41">
        <f>IF(OR(I124="",D124="",D124=0,I124=0),"",I124/D124)</f>
        <v/>
      </c>
      <c r="K124" s="25">
        <f>IF(OR(F124="",I124="",I124=0),"",F124/I124)</f>
        <v/>
      </c>
      <c r="L124" s="22" t="n"/>
    </row>
    <row r="125" ht="22" customHeight="1">
      <c r="A125" s="27" t="n">
        <v>122</v>
      </c>
      <c r="B125" s="28" t="n"/>
      <c r="C125" s="29" t="n"/>
      <c r="D125" s="42" t="n"/>
      <c r="E125" s="30" t="n"/>
      <c r="F125" s="30">
        <f>IF(OR(D125="",E125=""),"",D125*E125)</f>
        <v/>
      </c>
      <c r="G125" s="27" t="n"/>
      <c r="H125" s="27" t="n"/>
      <c r="I125" s="29">
        <f>IF(OR(C125="",C124=""),"",C125-C124)</f>
        <v/>
      </c>
      <c r="J125" s="42">
        <f>IF(OR(I125="",D125="",D125=0,I125=0),"",I125/D125)</f>
        <v/>
      </c>
      <c r="K125" s="30">
        <f>IF(OR(F125="",I125="",I125=0),"",F125/I125)</f>
        <v/>
      </c>
      <c r="L125" s="27" t="n"/>
    </row>
    <row r="126" ht="22" customHeight="1">
      <c r="A126" s="22" t="n">
        <v>123</v>
      </c>
      <c r="B126" s="23" t="n"/>
      <c r="C126" s="24" t="n"/>
      <c r="D126" s="41" t="n"/>
      <c r="E126" s="25" t="n"/>
      <c r="F126" s="25">
        <f>IF(OR(D126="",E126=""),"",D126*E126)</f>
        <v/>
      </c>
      <c r="G126" s="22" t="n"/>
      <c r="H126" s="22" t="n"/>
      <c r="I126" s="24">
        <f>IF(OR(C126="",C125=""),"",C126-C125)</f>
        <v/>
      </c>
      <c r="J126" s="41">
        <f>IF(OR(I126="",D126="",D126=0,I126=0),"",I126/D126)</f>
        <v/>
      </c>
      <c r="K126" s="25">
        <f>IF(OR(F126="",I126="",I126=0),"",F126/I126)</f>
        <v/>
      </c>
      <c r="L126" s="22" t="n"/>
    </row>
    <row r="127" ht="22" customHeight="1">
      <c r="A127" s="27" t="n">
        <v>124</v>
      </c>
      <c r="B127" s="28" t="n"/>
      <c r="C127" s="29" t="n"/>
      <c r="D127" s="42" t="n"/>
      <c r="E127" s="30" t="n"/>
      <c r="F127" s="30">
        <f>IF(OR(D127="",E127=""),"",D127*E127)</f>
        <v/>
      </c>
      <c r="G127" s="27" t="n"/>
      <c r="H127" s="27" t="n"/>
      <c r="I127" s="29">
        <f>IF(OR(C127="",C126=""),"",C127-C126)</f>
        <v/>
      </c>
      <c r="J127" s="42">
        <f>IF(OR(I127="",D127="",D127=0,I127=0),"",I127/D127)</f>
        <v/>
      </c>
      <c r="K127" s="30">
        <f>IF(OR(F127="",I127="",I127=0),"",F127/I127)</f>
        <v/>
      </c>
      <c r="L127" s="27" t="n"/>
    </row>
    <row r="128" ht="22" customHeight="1">
      <c r="A128" s="22" t="n">
        <v>125</v>
      </c>
      <c r="B128" s="23" t="n"/>
      <c r="C128" s="24" t="n"/>
      <c r="D128" s="41" t="n"/>
      <c r="E128" s="25" t="n"/>
      <c r="F128" s="25">
        <f>IF(OR(D128="",E128=""),"",D128*E128)</f>
        <v/>
      </c>
      <c r="G128" s="22" t="n"/>
      <c r="H128" s="22" t="n"/>
      <c r="I128" s="24">
        <f>IF(OR(C128="",C127=""),"",C128-C127)</f>
        <v/>
      </c>
      <c r="J128" s="41">
        <f>IF(OR(I128="",D128="",D128=0,I128=0),"",I128/D128)</f>
        <v/>
      </c>
      <c r="K128" s="25">
        <f>IF(OR(F128="",I128="",I128=0),"",F128/I128)</f>
        <v/>
      </c>
      <c r="L128" s="22" t="n"/>
    </row>
    <row r="129" ht="22" customHeight="1">
      <c r="A129" s="27" t="n">
        <v>126</v>
      </c>
      <c r="B129" s="28" t="n"/>
      <c r="C129" s="29" t="n"/>
      <c r="D129" s="42" t="n"/>
      <c r="E129" s="30" t="n"/>
      <c r="F129" s="30">
        <f>IF(OR(D129="",E129=""),"",D129*E129)</f>
        <v/>
      </c>
      <c r="G129" s="27" t="n"/>
      <c r="H129" s="27" t="n"/>
      <c r="I129" s="29">
        <f>IF(OR(C129="",C128=""),"",C129-C128)</f>
        <v/>
      </c>
      <c r="J129" s="42">
        <f>IF(OR(I129="",D129="",D129=0,I129=0),"",I129/D129)</f>
        <v/>
      </c>
      <c r="K129" s="30">
        <f>IF(OR(F129="",I129="",I129=0),"",F129/I129)</f>
        <v/>
      </c>
      <c r="L129" s="27" t="n"/>
    </row>
    <row r="130" ht="22" customHeight="1">
      <c r="A130" s="22" t="n">
        <v>127</v>
      </c>
      <c r="B130" s="23" t="n"/>
      <c r="C130" s="24" t="n"/>
      <c r="D130" s="41" t="n"/>
      <c r="E130" s="25" t="n"/>
      <c r="F130" s="25">
        <f>IF(OR(D130="",E130=""),"",D130*E130)</f>
        <v/>
      </c>
      <c r="G130" s="22" t="n"/>
      <c r="H130" s="22" t="n"/>
      <c r="I130" s="24">
        <f>IF(OR(C130="",C129=""),"",C130-C129)</f>
        <v/>
      </c>
      <c r="J130" s="41">
        <f>IF(OR(I130="",D130="",D130=0,I130=0),"",I130/D130)</f>
        <v/>
      </c>
      <c r="K130" s="25">
        <f>IF(OR(F130="",I130="",I130=0),"",F130/I130)</f>
        <v/>
      </c>
      <c r="L130" s="22" t="n"/>
    </row>
    <row r="131" ht="22" customHeight="1">
      <c r="A131" s="27" t="n">
        <v>128</v>
      </c>
      <c r="B131" s="28" t="n"/>
      <c r="C131" s="29" t="n"/>
      <c r="D131" s="42" t="n"/>
      <c r="E131" s="30" t="n"/>
      <c r="F131" s="30">
        <f>IF(OR(D131="",E131=""),"",D131*E131)</f>
        <v/>
      </c>
      <c r="G131" s="27" t="n"/>
      <c r="H131" s="27" t="n"/>
      <c r="I131" s="29">
        <f>IF(OR(C131="",C130=""),"",C131-C130)</f>
        <v/>
      </c>
      <c r="J131" s="42">
        <f>IF(OR(I131="",D131="",D131=0,I131=0),"",I131/D131)</f>
        <v/>
      </c>
      <c r="K131" s="30">
        <f>IF(OR(F131="",I131="",I131=0),"",F131/I131)</f>
        <v/>
      </c>
      <c r="L131" s="27" t="n"/>
    </row>
    <row r="132" ht="22" customHeight="1">
      <c r="A132" s="22" t="n">
        <v>129</v>
      </c>
      <c r="B132" s="23" t="n"/>
      <c r="C132" s="24" t="n"/>
      <c r="D132" s="41" t="n"/>
      <c r="E132" s="25" t="n"/>
      <c r="F132" s="25">
        <f>IF(OR(D132="",E132=""),"",D132*E132)</f>
        <v/>
      </c>
      <c r="G132" s="22" t="n"/>
      <c r="H132" s="22" t="n"/>
      <c r="I132" s="24">
        <f>IF(OR(C132="",C131=""),"",C132-C131)</f>
        <v/>
      </c>
      <c r="J132" s="41">
        <f>IF(OR(I132="",D132="",D132=0,I132=0),"",I132/D132)</f>
        <v/>
      </c>
      <c r="K132" s="25">
        <f>IF(OR(F132="",I132="",I132=0),"",F132/I132)</f>
        <v/>
      </c>
      <c r="L132" s="22" t="n"/>
    </row>
    <row r="133" ht="22" customHeight="1">
      <c r="A133" s="27" t="n">
        <v>130</v>
      </c>
      <c r="B133" s="28" t="n"/>
      <c r="C133" s="29" t="n"/>
      <c r="D133" s="42" t="n"/>
      <c r="E133" s="30" t="n"/>
      <c r="F133" s="30">
        <f>IF(OR(D133="",E133=""),"",D133*E133)</f>
        <v/>
      </c>
      <c r="G133" s="27" t="n"/>
      <c r="H133" s="27" t="n"/>
      <c r="I133" s="29">
        <f>IF(OR(C133="",C132=""),"",C133-C132)</f>
        <v/>
      </c>
      <c r="J133" s="42">
        <f>IF(OR(I133="",D133="",D133=0,I133=0),"",I133/D133)</f>
        <v/>
      </c>
      <c r="K133" s="30">
        <f>IF(OR(F133="",I133="",I133=0),"",F133/I133)</f>
        <v/>
      </c>
      <c r="L133" s="27" t="n"/>
    </row>
    <row r="134" ht="22" customHeight="1">
      <c r="A134" s="22" t="n">
        <v>131</v>
      </c>
      <c r="B134" s="23" t="n"/>
      <c r="C134" s="24" t="n"/>
      <c r="D134" s="41" t="n"/>
      <c r="E134" s="25" t="n"/>
      <c r="F134" s="25">
        <f>IF(OR(D134="",E134=""),"",D134*E134)</f>
        <v/>
      </c>
      <c r="G134" s="22" t="n"/>
      <c r="H134" s="22" t="n"/>
      <c r="I134" s="24">
        <f>IF(OR(C134="",C133=""),"",C134-C133)</f>
        <v/>
      </c>
      <c r="J134" s="41">
        <f>IF(OR(I134="",D134="",D134=0,I134=0),"",I134/D134)</f>
        <v/>
      </c>
      <c r="K134" s="25">
        <f>IF(OR(F134="",I134="",I134=0),"",F134/I134)</f>
        <v/>
      </c>
      <c r="L134" s="22" t="n"/>
    </row>
    <row r="135" ht="22" customHeight="1">
      <c r="A135" s="27" t="n">
        <v>132</v>
      </c>
      <c r="B135" s="28" t="n"/>
      <c r="C135" s="29" t="n"/>
      <c r="D135" s="42" t="n"/>
      <c r="E135" s="30" t="n"/>
      <c r="F135" s="30">
        <f>IF(OR(D135="",E135=""),"",D135*E135)</f>
        <v/>
      </c>
      <c r="G135" s="27" t="n"/>
      <c r="H135" s="27" t="n"/>
      <c r="I135" s="29">
        <f>IF(OR(C135="",C134=""),"",C135-C134)</f>
        <v/>
      </c>
      <c r="J135" s="42">
        <f>IF(OR(I135="",D135="",D135=0,I135=0),"",I135/D135)</f>
        <v/>
      </c>
      <c r="K135" s="30">
        <f>IF(OR(F135="",I135="",I135=0),"",F135/I135)</f>
        <v/>
      </c>
      <c r="L135" s="27" t="n"/>
    </row>
    <row r="136" ht="22" customHeight="1">
      <c r="A136" s="22" t="n">
        <v>133</v>
      </c>
      <c r="B136" s="23" t="n"/>
      <c r="C136" s="24" t="n"/>
      <c r="D136" s="41" t="n"/>
      <c r="E136" s="25" t="n"/>
      <c r="F136" s="25">
        <f>IF(OR(D136="",E136=""),"",D136*E136)</f>
        <v/>
      </c>
      <c r="G136" s="22" t="n"/>
      <c r="H136" s="22" t="n"/>
      <c r="I136" s="24">
        <f>IF(OR(C136="",C135=""),"",C136-C135)</f>
        <v/>
      </c>
      <c r="J136" s="41">
        <f>IF(OR(I136="",D136="",D136=0,I136=0),"",I136/D136)</f>
        <v/>
      </c>
      <c r="K136" s="25">
        <f>IF(OR(F136="",I136="",I136=0),"",F136/I136)</f>
        <v/>
      </c>
      <c r="L136" s="22" t="n"/>
    </row>
    <row r="137" ht="22" customHeight="1">
      <c r="A137" s="27" t="n">
        <v>134</v>
      </c>
      <c r="B137" s="28" t="n"/>
      <c r="C137" s="29" t="n"/>
      <c r="D137" s="42" t="n"/>
      <c r="E137" s="30" t="n"/>
      <c r="F137" s="30">
        <f>IF(OR(D137="",E137=""),"",D137*E137)</f>
        <v/>
      </c>
      <c r="G137" s="27" t="n"/>
      <c r="H137" s="27" t="n"/>
      <c r="I137" s="29">
        <f>IF(OR(C137="",C136=""),"",C137-C136)</f>
        <v/>
      </c>
      <c r="J137" s="42">
        <f>IF(OR(I137="",D137="",D137=0,I137=0),"",I137/D137)</f>
        <v/>
      </c>
      <c r="K137" s="30">
        <f>IF(OR(F137="",I137="",I137=0),"",F137/I137)</f>
        <v/>
      </c>
      <c r="L137" s="27" t="n"/>
    </row>
    <row r="138" ht="22" customHeight="1">
      <c r="A138" s="22" t="n">
        <v>135</v>
      </c>
      <c r="B138" s="23" t="n"/>
      <c r="C138" s="24" t="n"/>
      <c r="D138" s="41" t="n"/>
      <c r="E138" s="25" t="n"/>
      <c r="F138" s="25">
        <f>IF(OR(D138="",E138=""),"",D138*E138)</f>
        <v/>
      </c>
      <c r="G138" s="22" t="n"/>
      <c r="H138" s="22" t="n"/>
      <c r="I138" s="24">
        <f>IF(OR(C138="",C137=""),"",C138-C137)</f>
        <v/>
      </c>
      <c r="J138" s="41">
        <f>IF(OR(I138="",D138="",D138=0,I138=0),"",I138/D138)</f>
        <v/>
      </c>
      <c r="K138" s="25">
        <f>IF(OR(F138="",I138="",I138=0),"",F138/I138)</f>
        <v/>
      </c>
      <c r="L138" s="22" t="n"/>
    </row>
    <row r="139" ht="22" customHeight="1">
      <c r="A139" s="27" t="n">
        <v>136</v>
      </c>
      <c r="B139" s="28" t="n"/>
      <c r="C139" s="29" t="n"/>
      <c r="D139" s="42" t="n"/>
      <c r="E139" s="30" t="n"/>
      <c r="F139" s="30">
        <f>IF(OR(D139="",E139=""),"",D139*E139)</f>
        <v/>
      </c>
      <c r="G139" s="27" t="n"/>
      <c r="H139" s="27" t="n"/>
      <c r="I139" s="29">
        <f>IF(OR(C139="",C138=""),"",C139-C138)</f>
        <v/>
      </c>
      <c r="J139" s="42">
        <f>IF(OR(I139="",D139="",D139=0,I139=0),"",I139/D139)</f>
        <v/>
      </c>
      <c r="K139" s="30">
        <f>IF(OR(F139="",I139="",I139=0),"",F139/I139)</f>
        <v/>
      </c>
      <c r="L139" s="27" t="n"/>
    </row>
    <row r="140" ht="22" customHeight="1">
      <c r="A140" s="22" t="n">
        <v>137</v>
      </c>
      <c r="B140" s="23" t="n"/>
      <c r="C140" s="24" t="n"/>
      <c r="D140" s="41" t="n"/>
      <c r="E140" s="25" t="n"/>
      <c r="F140" s="25">
        <f>IF(OR(D140="",E140=""),"",D140*E140)</f>
        <v/>
      </c>
      <c r="G140" s="22" t="n"/>
      <c r="H140" s="22" t="n"/>
      <c r="I140" s="24">
        <f>IF(OR(C140="",C139=""),"",C140-C139)</f>
        <v/>
      </c>
      <c r="J140" s="41">
        <f>IF(OR(I140="",D140="",D140=0,I140=0),"",I140/D140)</f>
        <v/>
      </c>
      <c r="K140" s="25">
        <f>IF(OR(F140="",I140="",I140=0),"",F140/I140)</f>
        <v/>
      </c>
      <c r="L140" s="22" t="n"/>
    </row>
    <row r="141" ht="22" customHeight="1">
      <c r="A141" s="27" t="n">
        <v>138</v>
      </c>
      <c r="B141" s="28" t="n"/>
      <c r="C141" s="29" t="n"/>
      <c r="D141" s="42" t="n"/>
      <c r="E141" s="30" t="n"/>
      <c r="F141" s="30">
        <f>IF(OR(D141="",E141=""),"",D141*E141)</f>
        <v/>
      </c>
      <c r="G141" s="27" t="n"/>
      <c r="H141" s="27" t="n"/>
      <c r="I141" s="29">
        <f>IF(OR(C141="",C140=""),"",C141-C140)</f>
        <v/>
      </c>
      <c r="J141" s="42">
        <f>IF(OR(I141="",D141="",D141=0,I141=0),"",I141/D141)</f>
        <v/>
      </c>
      <c r="K141" s="30">
        <f>IF(OR(F141="",I141="",I141=0),"",F141/I141)</f>
        <v/>
      </c>
      <c r="L141" s="27" t="n"/>
    </row>
    <row r="142" ht="22" customHeight="1">
      <c r="A142" s="22" t="n">
        <v>139</v>
      </c>
      <c r="B142" s="23" t="n"/>
      <c r="C142" s="24" t="n"/>
      <c r="D142" s="41" t="n"/>
      <c r="E142" s="25" t="n"/>
      <c r="F142" s="25">
        <f>IF(OR(D142="",E142=""),"",D142*E142)</f>
        <v/>
      </c>
      <c r="G142" s="22" t="n"/>
      <c r="H142" s="22" t="n"/>
      <c r="I142" s="24">
        <f>IF(OR(C142="",C141=""),"",C142-C141)</f>
        <v/>
      </c>
      <c r="J142" s="41">
        <f>IF(OR(I142="",D142="",D142=0,I142=0),"",I142/D142)</f>
        <v/>
      </c>
      <c r="K142" s="25">
        <f>IF(OR(F142="",I142="",I142=0),"",F142/I142)</f>
        <v/>
      </c>
      <c r="L142" s="22" t="n"/>
    </row>
    <row r="143" ht="22" customHeight="1">
      <c r="A143" s="27" t="n">
        <v>140</v>
      </c>
      <c r="B143" s="28" t="n"/>
      <c r="C143" s="29" t="n"/>
      <c r="D143" s="42" t="n"/>
      <c r="E143" s="30" t="n"/>
      <c r="F143" s="30">
        <f>IF(OR(D143="",E143=""),"",D143*E143)</f>
        <v/>
      </c>
      <c r="G143" s="27" t="n"/>
      <c r="H143" s="27" t="n"/>
      <c r="I143" s="29">
        <f>IF(OR(C143="",C142=""),"",C143-C142)</f>
        <v/>
      </c>
      <c r="J143" s="42">
        <f>IF(OR(I143="",D143="",D143=0,I143=0),"",I143/D143)</f>
        <v/>
      </c>
      <c r="K143" s="30">
        <f>IF(OR(F143="",I143="",I143=0),"",F143/I143)</f>
        <v/>
      </c>
      <c r="L143" s="27" t="n"/>
    </row>
    <row r="144" ht="22" customHeight="1">
      <c r="A144" s="22" t="n">
        <v>141</v>
      </c>
      <c r="B144" s="23" t="n"/>
      <c r="C144" s="24" t="n"/>
      <c r="D144" s="41" t="n"/>
      <c r="E144" s="25" t="n"/>
      <c r="F144" s="25">
        <f>IF(OR(D144="",E144=""),"",D144*E144)</f>
        <v/>
      </c>
      <c r="G144" s="22" t="n"/>
      <c r="H144" s="22" t="n"/>
      <c r="I144" s="24">
        <f>IF(OR(C144="",C143=""),"",C144-C143)</f>
        <v/>
      </c>
      <c r="J144" s="41">
        <f>IF(OR(I144="",D144="",D144=0,I144=0),"",I144/D144)</f>
        <v/>
      </c>
      <c r="K144" s="25">
        <f>IF(OR(F144="",I144="",I144=0),"",F144/I144)</f>
        <v/>
      </c>
      <c r="L144" s="22" t="n"/>
    </row>
    <row r="145" ht="22" customHeight="1">
      <c r="A145" s="27" t="n">
        <v>142</v>
      </c>
      <c r="B145" s="28" t="n"/>
      <c r="C145" s="29" t="n"/>
      <c r="D145" s="42" t="n"/>
      <c r="E145" s="30" t="n"/>
      <c r="F145" s="30">
        <f>IF(OR(D145="",E145=""),"",D145*E145)</f>
        <v/>
      </c>
      <c r="G145" s="27" t="n"/>
      <c r="H145" s="27" t="n"/>
      <c r="I145" s="29">
        <f>IF(OR(C145="",C144=""),"",C145-C144)</f>
        <v/>
      </c>
      <c r="J145" s="42">
        <f>IF(OR(I145="",D145="",D145=0,I145=0),"",I145/D145)</f>
        <v/>
      </c>
      <c r="K145" s="30">
        <f>IF(OR(F145="",I145="",I145=0),"",F145/I145)</f>
        <v/>
      </c>
      <c r="L145" s="27" t="n"/>
    </row>
    <row r="146" ht="22" customHeight="1">
      <c r="A146" s="22" t="n">
        <v>143</v>
      </c>
      <c r="B146" s="23" t="n"/>
      <c r="C146" s="24" t="n"/>
      <c r="D146" s="41" t="n"/>
      <c r="E146" s="25" t="n"/>
      <c r="F146" s="25">
        <f>IF(OR(D146="",E146=""),"",D146*E146)</f>
        <v/>
      </c>
      <c r="G146" s="22" t="n"/>
      <c r="H146" s="22" t="n"/>
      <c r="I146" s="24">
        <f>IF(OR(C146="",C145=""),"",C146-C145)</f>
        <v/>
      </c>
      <c r="J146" s="41">
        <f>IF(OR(I146="",D146="",D146=0,I146=0),"",I146/D146)</f>
        <v/>
      </c>
      <c r="K146" s="25">
        <f>IF(OR(F146="",I146="",I146=0),"",F146/I146)</f>
        <v/>
      </c>
      <c r="L146" s="22" t="n"/>
    </row>
    <row r="147" ht="22" customHeight="1">
      <c r="A147" s="27" t="n">
        <v>144</v>
      </c>
      <c r="B147" s="28" t="n"/>
      <c r="C147" s="29" t="n"/>
      <c r="D147" s="42" t="n"/>
      <c r="E147" s="30" t="n"/>
      <c r="F147" s="30">
        <f>IF(OR(D147="",E147=""),"",D147*E147)</f>
        <v/>
      </c>
      <c r="G147" s="27" t="n"/>
      <c r="H147" s="27" t="n"/>
      <c r="I147" s="29">
        <f>IF(OR(C147="",C146=""),"",C147-C146)</f>
        <v/>
      </c>
      <c r="J147" s="42">
        <f>IF(OR(I147="",D147="",D147=0,I147=0),"",I147/D147)</f>
        <v/>
      </c>
      <c r="K147" s="30">
        <f>IF(OR(F147="",I147="",I147=0),"",F147/I147)</f>
        <v/>
      </c>
      <c r="L147" s="27" t="n"/>
    </row>
    <row r="148" ht="22" customHeight="1">
      <c r="A148" s="22" t="n">
        <v>145</v>
      </c>
      <c r="B148" s="23" t="n"/>
      <c r="C148" s="24" t="n"/>
      <c r="D148" s="41" t="n"/>
      <c r="E148" s="25" t="n"/>
      <c r="F148" s="25">
        <f>IF(OR(D148="",E148=""),"",D148*E148)</f>
        <v/>
      </c>
      <c r="G148" s="22" t="n"/>
      <c r="H148" s="22" t="n"/>
      <c r="I148" s="24">
        <f>IF(OR(C148="",C147=""),"",C148-C147)</f>
        <v/>
      </c>
      <c r="J148" s="41">
        <f>IF(OR(I148="",D148="",D148=0,I148=0),"",I148/D148)</f>
        <v/>
      </c>
      <c r="K148" s="25">
        <f>IF(OR(F148="",I148="",I148=0),"",F148/I148)</f>
        <v/>
      </c>
      <c r="L148" s="22" t="n"/>
    </row>
    <row r="149" ht="22" customHeight="1">
      <c r="A149" s="27" t="n">
        <v>146</v>
      </c>
      <c r="B149" s="28" t="n"/>
      <c r="C149" s="29" t="n"/>
      <c r="D149" s="42" t="n"/>
      <c r="E149" s="30" t="n"/>
      <c r="F149" s="30">
        <f>IF(OR(D149="",E149=""),"",D149*E149)</f>
        <v/>
      </c>
      <c r="G149" s="27" t="n"/>
      <c r="H149" s="27" t="n"/>
      <c r="I149" s="29">
        <f>IF(OR(C149="",C148=""),"",C149-C148)</f>
        <v/>
      </c>
      <c r="J149" s="42">
        <f>IF(OR(I149="",D149="",D149=0,I149=0),"",I149/D149)</f>
        <v/>
      </c>
      <c r="K149" s="30">
        <f>IF(OR(F149="",I149="",I149=0),"",F149/I149)</f>
        <v/>
      </c>
      <c r="L149" s="27" t="n"/>
    </row>
    <row r="150" ht="22" customHeight="1">
      <c r="A150" s="22" t="n">
        <v>147</v>
      </c>
      <c r="B150" s="23" t="n"/>
      <c r="C150" s="24" t="n"/>
      <c r="D150" s="41" t="n"/>
      <c r="E150" s="25" t="n"/>
      <c r="F150" s="25">
        <f>IF(OR(D150="",E150=""),"",D150*E150)</f>
        <v/>
      </c>
      <c r="G150" s="22" t="n"/>
      <c r="H150" s="22" t="n"/>
      <c r="I150" s="24">
        <f>IF(OR(C150="",C149=""),"",C150-C149)</f>
        <v/>
      </c>
      <c r="J150" s="41">
        <f>IF(OR(I150="",D150="",D150=0,I150=0),"",I150/D150)</f>
        <v/>
      </c>
      <c r="K150" s="25">
        <f>IF(OR(F150="",I150="",I150=0),"",F150/I150)</f>
        <v/>
      </c>
      <c r="L150" s="22" t="n"/>
    </row>
    <row r="151" ht="22" customHeight="1">
      <c r="A151" s="27" t="n">
        <v>148</v>
      </c>
      <c r="B151" s="28" t="n"/>
      <c r="C151" s="29" t="n"/>
      <c r="D151" s="42" t="n"/>
      <c r="E151" s="30" t="n"/>
      <c r="F151" s="30">
        <f>IF(OR(D151="",E151=""),"",D151*E151)</f>
        <v/>
      </c>
      <c r="G151" s="27" t="n"/>
      <c r="H151" s="27" t="n"/>
      <c r="I151" s="29">
        <f>IF(OR(C151="",C150=""),"",C151-C150)</f>
        <v/>
      </c>
      <c r="J151" s="42">
        <f>IF(OR(I151="",D151="",D151=0,I151=0),"",I151/D151)</f>
        <v/>
      </c>
      <c r="K151" s="30">
        <f>IF(OR(F151="",I151="",I151=0),"",F151/I151)</f>
        <v/>
      </c>
      <c r="L151" s="27" t="n"/>
    </row>
    <row r="152" ht="22" customHeight="1">
      <c r="A152" s="22" t="n">
        <v>149</v>
      </c>
      <c r="B152" s="23" t="n"/>
      <c r="C152" s="24" t="n"/>
      <c r="D152" s="41" t="n"/>
      <c r="E152" s="25" t="n"/>
      <c r="F152" s="25">
        <f>IF(OR(D152="",E152=""),"",D152*E152)</f>
        <v/>
      </c>
      <c r="G152" s="22" t="n"/>
      <c r="H152" s="22" t="n"/>
      <c r="I152" s="24">
        <f>IF(OR(C152="",C151=""),"",C152-C151)</f>
        <v/>
      </c>
      <c r="J152" s="41">
        <f>IF(OR(I152="",D152="",D152=0,I152=0),"",I152/D152)</f>
        <v/>
      </c>
      <c r="K152" s="25">
        <f>IF(OR(F152="",I152="",I152=0),"",F152/I152)</f>
        <v/>
      </c>
      <c r="L152" s="22" t="n"/>
    </row>
    <row r="153" ht="22" customHeight="1">
      <c r="A153" s="27" t="n">
        <v>150</v>
      </c>
      <c r="B153" s="28" t="n"/>
      <c r="C153" s="29" t="n"/>
      <c r="D153" s="42" t="n"/>
      <c r="E153" s="30" t="n"/>
      <c r="F153" s="30">
        <f>IF(OR(D153="",E153=""),"",D153*E153)</f>
        <v/>
      </c>
      <c r="G153" s="27" t="n"/>
      <c r="H153" s="27" t="n"/>
      <c r="I153" s="29">
        <f>IF(OR(C153="",C152=""),"",C153-C152)</f>
        <v/>
      </c>
      <c r="J153" s="42">
        <f>IF(OR(I153="",D153="",D153=0,I153=0),"",I153/D153)</f>
        <v/>
      </c>
      <c r="K153" s="30">
        <f>IF(OR(F153="",I153="",I153=0),"",F153/I153)</f>
        <v/>
      </c>
      <c r="L153" s="27" t="n"/>
    </row>
    <row r="154">
      <c r="A154" s="32" t="inlineStr">
        <is>
          <t>TOTAIS</t>
        </is>
      </c>
      <c r="B154" s="33" t="n"/>
      <c r="C154" s="33" t="n"/>
      <c r="D154" s="43">
        <f>SUM(D4:D153)</f>
        <v/>
      </c>
      <c r="E154" s="33" t="n"/>
      <c r="F154" s="34">
        <f>SUM(F4:F153)</f>
        <v/>
      </c>
      <c r="G154" s="33" t="n"/>
      <c r="H154" s="33" t="n"/>
      <c r="I154" s="33" t="n"/>
      <c r="J154" s="33" t="n"/>
      <c r="K154" s="33" t="n"/>
      <c r="L154" s="33" t="n"/>
    </row>
    <row r="155">
      <c r="A155" s="44" t="inlineStr">
        <is>
          <t>MÉDIA DE CONSUMO</t>
        </is>
      </c>
      <c r="B155" s="45" t="n"/>
      <c r="C155" s="45" t="n"/>
      <c r="D155" s="45" t="n"/>
      <c r="E155" s="45" t="n"/>
      <c r="J155" s="46">
        <f>IF(COUNTA(J4:J153)=0,"",AVERAGE(J4:J153))</f>
        <v/>
      </c>
    </row>
  </sheetData>
  <autoFilter ref="A3:L153"/>
  <mergeCells count="4">
    <mergeCell ref="A2:L2"/>
    <mergeCell ref="A155:E155"/>
    <mergeCell ref="A1:L1"/>
    <mergeCell ref="A154:C154"/>
  </mergeCells>
  <conditionalFormatting sqref="J4:J153">
    <cfRule type="cellIs" priority="1" operator="lessThan" dxfId="0">
      <formula>6</formula>
    </cfRule>
    <cfRule type="cellIs" priority="2" operator="greaterThan" dxfId="1">
      <formula>8</formula>
    </cfRule>
  </conditionalFormatting>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showDropDown="0" showInputMessage="0" showErrorMessage="0" allowBlank="1" type="list">
      <formula1>"Sim,Não,Parcial"</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27AE60"/>
    <outlinePr summaryBelow="1" summaryRight="1"/>
    <pageSetUpPr fitToPage="1"/>
  </sheetPr>
  <dimension ref="A1:H2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22" customWidth="1" min="3" max="3"/>
    <col width="22" customWidth="1" min="4" max="4"/>
    <col width="22" customWidth="1" min="5" max="5"/>
    <col width="5" customWidth="1" min="6" max="6"/>
    <col width="22" customWidth="1" min="7" max="7"/>
    <col width="3" customWidth="1" min="8" max="8"/>
  </cols>
  <sheetData>
    <row r="1" ht="38" customHeight="1">
      <c r="A1" s="1" t="inlineStr">
        <is>
          <t>RESUMO ANUAL — GASTOS DA FROTA</t>
        </is>
      </c>
      <c r="B1" s="2" t="n"/>
      <c r="C1" s="2" t="n"/>
      <c r="D1" s="2" t="n"/>
      <c r="E1" s="2" t="n"/>
      <c r="F1" s="2" t="n"/>
      <c r="G1" s="2" t="n"/>
      <c r="H1" s="2" t="n"/>
    </row>
    <row r="2">
      <c r="B2" s="50" t="inlineStr">
        <is>
          <t>Ano de Referência:</t>
        </is>
      </c>
      <c r="D2" s="51" t="n">
        <v>2025</v>
      </c>
    </row>
    <row r="4" ht="32" customHeight="1">
      <c r="B4" s="52" t="inlineStr">
        <is>
          <t>Categoria de Gasto</t>
        </is>
      </c>
      <c r="C4" s="53" t="inlineStr">
        <is>
          <t>HR Hyundai 2018</t>
        </is>
      </c>
      <c r="D4" s="54" t="inlineStr">
        <is>
          <t>KIA Bongo 2014</t>
        </is>
      </c>
      <c r="E4" s="55" t="inlineStr">
        <is>
          <t>TOTAL FROTA</t>
        </is>
      </c>
    </row>
    <row r="5" ht="26" customHeight="1">
      <c r="B5" s="56" t="inlineStr">
        <is>
          <t>Manutenção Preventiva</t>
        </is>
      </c>
      <c r="C5" s="25">
        <f>SUMPRODUCT(('Preventiva HR'!B4:B153&lt;&gt;"")*(YEAR('Preventiva HR'!B4:B153)=D2)*('Preventiva HR'!G4:G153))</f>
        <v/>
      </c>
      <c r="D5" s="25">
        <f>SUMPRODUCT(('Preventiva Bongo'!B4:B153&lt;&gt;"")*(YEAR('Preventiva Bongo'!B4:B153)=D2)*('Preventiva Bongo'!G4:G153))</f>
        <v/>
      </c>
      <c r="E5" s="57">
        <f>C5+D5</f>
        <v/>
      </c>
    </row>
    <row r="6" ht="26" customHeight="1">
      <c r="B6" s="58" t="inlineStr">
        <is>
          <t>Manutenção Corretiva (Quebras)</t>
        </is>
      </c>
      <c r="C6" s="30">
        <f>SUMPRODUCT(('Corretiva HR'!B4:B153&lt;&gt;"")*(YEAR('Corretiva HR'!B4:B153)=D2)*('Corretiva HR'!J4:J153))</f>
        <v/>
      </c>
      <c r="D6" s="30">
        <f>SUMPRODUCT(('Corretiva Bongo'!B4:B153&lt;&gt;"")*(YEAR('Corretiva Bongo'!B4:B153)=D2)*('Corretiva Bongo'!J4:J153))</f>
        <v/>
      </c>
      <c r="E6" s="59">
        <f>C6+D6</f>
        <v/>
      </c>
    </row>
    <row r="7" ht="26" customHeight="1">
      <c r="B7" s="56" t="inlineStr">
        <is>
          <t>Pneus</t>
        </is>
      </c>
      <c r="C7" s="25">
        <f>SUMPRODUCT(('Pneus HR'!B4:B83&lt;&gt;"")*(YEAR('Pneus HR'!B4:B83)=D2)*('Pneus HR'!H4:H83))</f>
        <v/>
      </c>
      <c r="D7" s="25">
        <f>SUMPRODUCT(('Pneus Bongo'!B4:B83&lt;&gt;"")*(YEAR('Pneus Bongo'!B4:B83)=D2)*('Pneus Bongo'!H4:H83))</f>
        <v/>
      </c>
      <c r="E7" s="57">
        <f>C7+D7</f>
        <v/>
      </c>
    </row>
    <row r="8" ht="26" customHeight="1">
      <c r="B8" s="58" t="inlineStr">
        <is>
          <t>Combustível (Diesel)</t>
        </is>
      </c>
      <c r="C8" s="30">
        <f>SUMPRODUCT(('Abastecimento HR'!B4:B153&lt;&gt;"")*(YEAR('Abastecimento HR'!B4:B153)=D2)*('Abastecimento HR'!F4:F153))</f>
        <v/>
      </c>
      <c r="D8" s="30">
        <f>SUMPRODUCT(('Abastecimento Bongo'!B4:B153&lt;&gt;"")*(YEAR('Abastecimento Bongo'!B4:B153)=D2)*('Abastecimento Bongo'!F4:F153))</f>
        <v/>
      </c>
      <c r="E8" s="59">
        <f>C8+D8</f>
        <v/>
      </c>
    </row>
    <row r="9" ht="26" customHeight="1">
      <c r="B9" s="10" t="inlineStr">
        <is>
          <t>OUTROS CUSTOS OPERACIONAIS</t>
        </is>
      </c>
    </row>
    <row r="10" ht="24" customHeight="1">
      <c r="B10" s="14" t="inlineStr">
        <is>
          <t>IPVA</t>
        </is>
      </c>
      <c r="C10" s="60" t="n"/>
      <c r="D10" s="60" t="n"/>
      <c r="E10" s="57">
        <f>IF(AND(C10="",D10=""),"",C10+D10)</f>
        <v/>
      </c>
    </row>
    <row r="11" ht="24" customHeight="1">
      <c r="B11" s="6" t="inlineStr">
        <is>
          <t>Seguro Obrigatório (DPVAT)</t>
        </is>
      </c>
      <c r="C11" s="60" t="n"/>
      <c r="D11" s="60" t="n"/>
      <c r="E11" s="59">
        <f>IF(AND(C11="",D11=""),"",C11+D11)</f>
        <v/>
      </c>
    </row>
    <row r="12" ht="24" customHeight="1">
      <c r="B12" s="14" t="inlineStr">
        <is>
          <t>Seguro Facultativo</t>
        </is>
      </c>
      <c r="C12" s="60" t="n"/>
      <c r="D12" s="60" t="n"/>
      <c r="E12" s="57">
        <f>IF(AND(C12="",D12=""),"",C12+D12)</f>
        <v/>
      </c>
    </row>
    <row r="13" ht="24" customHeight="1">
      <c r="B13" s="6" t="inlineStr">
        <is>
          <t>Licenciamento</t>
        </is>
      </c>
      <c r="C13" s="60" t="n"/>
      <c r="D13" s="60" t="n"/>
      <c r="E13" s="59">
        <f>IF(AND(C13="",D13=""),"",C13+D13)</f>
        <v/>
      </c>
    </row>
    <row r="14" ht="24" customHeight="1">
      <c r="B14" s="14" t="inlineStr">
        <is>
          <t>Pedágios</t>
        </is>
      </c>
      <c r="C14" s="60" t="n"/>
      <c r="D14" s="60" t="n"/>
      <c r="E14" s="57">
        <f>IF(AND(C14="",D14=""),"",C14+D14)</f>
        <v/>
      </c>
    </row>
    <row r="15" ht="24" customHeight="1">
      <c r="B15" s="6" t="inlineStr">
        <is>
          <t>Estacionamento</t>
        </is>
      </c>
      <c r="C15" s="60" t="n"/>
      <c r="D15" s="60" t="n"/>
      <c r="E15" s="59">
        <f>IF(AND(C15="",D15=""),"",C15+D15)</f>
        <v/>
      </c>
    </row>
    <row r="16" ht="24" customHeight="1">
      <c r="B16" s="14" t="inlineStr">
        <is>
          <t>Lavagem</t>
        </is>
      </c>
      <c r="C16" s="60" t="n"/>
      <c r="D16" s="60" t="n"/>
      <c r="E16" s="57">
        <f>IF(AND(C16="",D16=""),"",C16+D16)</f>
        <v/>
      </c>
    </row>
    <row r="17" ht="24" customHeight="1">
      <c r="B17" s="6" t="inlineStr">
        <is>
          <t>Documentação / Multas</t>
        </is>
      </c>
      <c r="C17" s="60" t="n"/>
      <c r="D17" s="60" t="n"/>
      <c r="E17" s="59">
        <f>IF(AND(C17="",D17=""),"",C17+D17)</f>
        <v/>
      </c>
    </row>
    <row r="18" ht="24" customHeight="1">
      <c r="B18" s="14" t="inlineStr">
        <is>
          <t>Outros Gastos</t>
        </is>
      </c>
      <c r="C18" s="60" t="n"/>
      <c r="D18" s="60" t="n"/>
      <c r="E18" s="57">
        <f>IF(AND(C18="",D18=""),"",C18+D18)</f>
        <v/>
      </c>
    </row>
    <row r="20" ht="36" customHeight="1">
      <c r="B20" s="61" t="inlineStr">
        <is>
          <t>TOTAL GERAL ANUAL</t>
        </is>
      </c>
      <c r="C20" s="62">
        <f>SUM(C5:C18)</f>
        <v/>
      </c>
      <c r="D20" s="63">
        <f>SUM(D5:D18)</f>
        <v/>
      </c>
      <c r="E20" s="64">
        <f>SUM(E5:E18)</f>
        <v/>
      </c>
    </row>
    <row r="22" ht="26" customHeight="1">
      <c r="B22" s="10" t="inlineStr">
        <is>
          <t>MÉTRICAS COMPLEMENTARES</t>
        </is>
      </c>
    </row>
    <row r="23" ht="24" customHeight="1">
      <c r="B23" s="14" t="inlineStr">
        <is>
          <t>Total de Abastecimentos (qtd)</t>
        </is>
      </c>
      <c r="C23" s="65">
        <f>SUMPRODUCT(('Abastecimento HR'!B4:B153&lt;&gt;"")*(YEAR('Abastecimento HR'!B4:B153)=D2))</f>
        <v/>
      </c>
      <c r="D23" s="65">
        <f>SUMPRODUCT(('Abastecimento Bongo'!B4:B153&lt;&gt;"")*(YEAR('Abastecimento Bongo'!B4:B153)=D2))</f>
        <v/>
      </c>
      <c r="E23" s="66">
        <f>IFERROR(C23+D23,"")</f>
        <v/>
      </c>
    </row>
    <row r="24" ht="24" customHeight="1">
      <c r="B24" s="6" t="inlineStr">
        <is>
          <t>Total Litros Consumidos</t>
        </is>
      </c>
      <c r="C24" s="67">
        <f>SUMPRODUCT(('Abastecimento HR'!B4:B153&lt;&gt;"")*(YEAR('Abastecimento HR'!B4:B153)=D2)*('Abastecimento HR'!D4:D153))</f>
        <v/>
      </c>
      <c r="D24" s="67">
        <f>SUMPRODUCT(('Abastecimento Bongo'!B4:B153&lt;&gt;"")*(YEAR('Abastecimento Bongo'!B4:B153)=D2)*('Abastecimento Bongo'!D4:D153))</f>
        <v/>
      </c>
      <c r="E24" s="68">
        <f>IFERROR(C24+D24,"")</f>
        <v/>
      </c>
    </row>
    <row r="25" ht="24" customHeight="1">
      <c r="B25" s="14" t="inlineStr">
        <is>
          <t>Qtd Manutenções Preventivas</t>
        </is>
      </c>
      <c r="C25" s="65">
        <f>SUMPRODUCT(('Preventiva HR'!B4:B153&lt;&gt;"")*(YEAR('Preventiva HR'!B4:B153)=D2))</f>
        <v/>
      </c>
      <c r="D25" s="65">
        <f>SUMPRODUCT(('Preventiva Bongo'!B4:B153&lt;&gt;"")*(YEAR('Preventiva Bongo'!B4:B153)=D2))</f>
        <v/>
      </c>
      <c r="E25" s="66">
        <f>IFERROR(C25+D25,"")</f>
        <v/>
      </c>
    </row>
    <row r="26" ht="24" customHeight="1">
      <c r="B26" s="6" t="inlineStr">
        <is>
          <t>Qtd Quebras / Corretivas</t>
        </is>
      </c>
      <c r="C26" s="69">
        <f>SUMPRODUCT(('Corretiva HR'!B4:B153&lt;&gt;"")*(YEAR('Corretiva HR'!B4:B153)=D2))</f>
        <v/>
      </c>
      <c r="D26" s="69">
        <f>SUMPRODUCT(('Corretiva Bongo'!B4:B153&lt;&gt;"")*(YEAR('Corretiva Bongo'!B4:B153)=D2))</f>
        <v/>
      </c>
      <c r="E26" s="70">
        <f>IFERROR(C26+D26,"")</f>
        <v/>
      </c>
    </row>
    <row r="27" ht="24" customHeight="1">
      <c r="B27" s="14" t="inlineStr">
        <is>
          <t>Qtd Trocas de Pneu</t>
        </is>
      </c>
      <c r="C27" s="65">
        <f>SUMPRODUCT(('Pneus HR'!B4:B83&lt;&gt;"")*(YEAR('Pneus HR'!B4:B83)=D2))</f>
        <v/>
      </c>
      <c r="D27" s="65">
        <f>SUMPRODUCT(('Pneus Bongo'!B4:B83&lt;&gt;"")*(YEAR('Pneus Bongo'!B4:B83)=D2))</f>
        <v/>
      </c>
      <c r="E27" s="66">
        <f>IFERROR(C27+D27,"")</f>
        <v/>
      </c>
    </row>
    <row r="28" ht="24" customHeight="1">
      <c r="B28" s="6" t="inlineStr">
        <is>
          <t>Custo Médio por Quebra</t>
        </is>
      </c>
      <c r="C28" s="71">
        <f>IFERROR(C6/26,"")</f>
        <v/>
      </c>
      <c r="D28" s="71">
        <f>IFERROR(D6/26,"")</f>
        <v/>
      </c>
      <c r="E28" s="59">
        <f>IFERROR(C28+D28,"")</f>
        <v/>
      </c>
    </row>
  </sheetData>
  <mergeCells count="4">
    <mergeCell ref="B9:E9"/>
    <mergeCell ref="B2:C2"/>
    <mergeCell ref="B22:E22"/>
    <mergeCell ref="A1:H1"/>
  </mergeCells>
  <conditionalFormatting sqref="C20:D20">
    <cfRule type="cellIs" priority="1" operator="greaterThan" dxfId="0">
      <formula>IF(C20&gt;D20,D20,C20)</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2026-04-06T14:57:03Z</dcterms:created>
  <dcterms:modified xsi:type="dcterms:W3CDTF">2026-04-06T14:57:04Z</dcterms:modified>
</cp:coreProperties>
</file>